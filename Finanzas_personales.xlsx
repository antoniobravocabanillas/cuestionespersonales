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inv\Downloads\"/>
    </mc:Choice>
  </mc:AlternateContent>
  <xr:revisionPtr revIDLastSave="0" documentId="13_ncr:1_{5DE7A473-9010-4C06-9F5A-6AE557DDD954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Dashboard" sheetId="1" r:id="rId1"/>
    <sheet name="MOVIMIENTOS" sheetId="2" r:id="rId2"/>
    <sheet name="RESUMEN" sheetId="3" r:id="rId3"/>
    <sheet name="DEUDAS" sheetId="4" r:id="rId4"/>
    <sheet name="CONTROL PERSONAL" sheetId="5" r:id="rId5"/>
    <sheet name="LISTAS" sheetId="6" r:id="rId6"/>
    <sheet name="PRESUPU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7" l="1"/>
  <c r="J13" i="4"/>
  <c r="F13" i="4"/>
  <c r="E13" i="4"/>
  <c r="K12" i="4"/>
  <c r="K11" i="4"/>
  <c r="K10" i="4"/>
  <c r="K9" i="4"/>
  <c r="K8" i="4"/>
  <c r="K7" i="4"/>
  <c r="K6" i="4"/>
  <c r="K5" i="4"/>
  <c r="K4" i="4"/>
  <c r="K13" i="4" s="1"/>
  <c r="B15" i="3"/>
  <c r="B14" i="3"/>
  <c r="C14" i="3" s="1"/>
  <c r="B13" i="3"/>
  <c r="B12" i="3"/>
  <c r="C12" i="3" s="1"/>
  <c r="B11" i="3"/>
  <c r="B10" i="3"/>
  <c r="C10" i="3" s="1"/>
  <c r="B9" i="3"/>
  <c r="B8" i="3"/>
  <c r="C8" i="3" s="1"/>
  <c r="B7" i="3"/>
  <c r="B6" i="3"/>
  <c r="C6" i="3" s="1"/>
  <c r="B5" i="3"/>
  <c r="B4" i="3"/>
  <c r="C4" i="3" s="1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H39" i="2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I38" i="2"/>
  <c r="H38" i="2"/>
  <c r="I37" i="2"/>
  <c r="H37" i="2"/>
  <c r="I36" i="2"/>
  <c r="H36" i="2"/>
  <c r="C11" i="2"/>
  <c r="F11" i="1" s="1"/>
  <c r="C10" i="2"/>
  <c r="C9" i="2"/>
  <c r="I9" i="2" s="1"/>
  <c r="L8" i="2"/>
  <c r="L7" i="2"/>
  <c r="L6" i="2"/>
  <c r="I6" i="2"/>
  <c r="I7" i="2" s="1"/>
  <c r="I8" i="2" s="1"/>
  <c r="G17" i="1"/>
  <c r="G16" i="1"/>
  <c r="F16" i="1"/>
  <c r="H16" i="1" s="1"/>
  <c r="G15" i="1"/>
  <c r="F15" i="1"/>
  <c r="G14" i="1"/>
  <c r="F14" i="1"/>
  <c r="G13" i="1"/>
  <c r="F13" i="1"/>
  <c r="G12" i="1"/>
  <c r="F12" i="1"/>
  <c r="H12" i="1" s="1"/>
  <c r="G11" i="1"/>
  <c r="G10" i="1"/>
  <c r="F10" i="1"/>
  <c r="G9" i="1"/>
  <c r="F9" i="1"/>
  <c r="G8" i="1"/>
  <c r="G7" i="1"/>
  <c r="G6" i="1"/>
  <c r="F6" i="1"/>
  <c r="G5" i="1"/>
  <c r="C4" i="1"/>
  <c r="H14" i="1" l="1"/>
  <c r="H9" i="1"/>
  <c r="H13" i="1"/>
  <c r="H15" i="1"/>
  <c r="H6" i="1"/>
  <c r="H10" i="1"/>
  <c r="I10" i="2"/>
  <c r="H11" i="1"/>
  <c r="C12" i="2"/>
  <c r="C13" i="2"/>
  <c r="C5" i="3"/>
  <c r="C7" i="3"/>
  <c r="C9" i="3"/>
  <c r="C11" i="3"/>
  <c r="C13" i="3"/>
  <c r="C15" i="3"/>
  <c r="I11" i="2"/>
  <c r="D6" i="3" l="1"/>
  <c r="E6" i="3" s="1"/>
  <c r="G6" i="3" s="1"/>
  <c r="C15" i="2"/>
  <c r="F5" i="1"/>
  <c r="H5" i="1" s="1"/>
  <c r="D12" i="3"/>
  <c r="E12" i="3" s="1"/>
  <c r="G12" i="3" s="1"/>
  <c r="D4" i="3"/>
  <c r="E4" i="3" s="1"/>
  <c r="D9" i="3"/>
  <c r="E9" i="3" s="1"/>
  <c r="G9" i="3" s="1"/>
  <c r="D14" i="3"/>
  <c r="E14" i="3" s="1"/>
  <c r="G14" i="3" s="1"/>
  <c r="F17" i="1"/>
  <c r="H17" i="1" s="1"/>
  <c r="C14" i="2"/>
  <c r="I12" i="2"/>
  <c r="I13" i="2" s="1"/>
  <c r="D10" i="3"/>
  <c r="E10" i="3" s="1"/>
  <c r="G10" i="3" s="1"/>
  <c r="D8" i="3"/>
  <c r="E8" i="3" s="1"/>
  <c r="G8" i="3" s="1"/>
  <c r="D7" i="3"/>
  <c r="E7" i="3" s="1"/>
  <c r="G7" i="3" s="1"/>
  <c r="G4" i="3" l="1"/>
  <c r="F4" i="3"/>
  <c r="F7" i="1"/>
  <c r="H7" i="1" s="1"/>
  <c r="F8" i="1"/>
  <c r="H8" i="1" s="1"/>
  <c r="I14" i="2"/>
  <c r="I15" i="2" s="1"/>
  <c r="I16" i="2" s="1"/>
  <c r="I17" i="2" s="1"/>
  <c r="I18" i="2" s="1"/>
  <c r="I19" i="2" s="1"/>
  <c r="I20" i="2" s="1"/>
  <c r="C5" i="1"/>
  <c r="D13" i="3"/>
  <c r="E13" i="3" s="1"/>
  <c r="G13" i="3" s="1"/>
  <c r="D5" i="3"/>
  <c r="E5" i="3" s="1"/>
  <c r="G5" i="3" s="1"/>
  <c r="D11" i="3"/>
  <c r="E11" i="3" s="1"/>
  <c r="G11" i="3" s="1"/>
  <c r="D15" i="3"/>
  <c r="E15" i="3" s="1"/>
  <c r="G15" i="3" s="1"/>
  <c r="I21" i="2" l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F10" i="3"/>
  <c r="F6" i="3"/>
  <c r="F12" i="3"/>
  <c r="F14" i="3"/>
  <c r="F8" i="3"/>
  <c r="C6" i="1"/>
  <c r="C7" i="1"/>
  <c r="C8" i="1" s="1"/>
  <c r="F5" i="3"/>
  <c r="F11" i="3"/>
  <c r="F7" i="3"/>
  <c r="F9" i="3"/>
  <c r="F13" i="3"/>
  <c r="F15" i="3"/>
  <c r="C3" i="1" l="1"/>
</calcChain>
</file>

<file path=xl/sharedStrings.xml><?xml version="1.0" encoding="utf-8"?>
<sst xmlns="http://schemas.openxmlformats.org/spreadsheetml/2006/main" count="471" uniqueCount="199">
  <si>
    <t>DASHBOARD · CONTROL DE DINERO PERSONAL</t>
  </si>
  <si>
    <t>Saldo inicial</t>
  </si>
  <si>
    <t>Mes actual</t>
  </si>
  <si>
    <t>Objetivo: detectar fugas y ajustar rápido</t>
  </si>
  <si>
    <t>Saldo actual</t>
  </si>
  <si>
    <t>Ingresos del mes</t>
  </si>
  <si>
    <t>Categoría</t>
  </si>
  <si>
    <t>Gasto mes</t>
  </si>
  <si>
    <t>Presupuesto</t>
  </si>
  <si>
    <t>Diferencia</t>
  </si>
  <si>
    <t>Gastos del mes</t>
  </si>
  <si>
    <t>Alimentación</t>
  </si>
  <si>
    <t>Flujo neto</t>
  </si>
  <si>
    <t>Vivienda</t>
  </si>
  <si>
    <t>% Gasto / Ingreso</t>
  </si>
  <si>
    <t>Transporte</t>
  </si>
  <si>
    <t>% Ahorro</t>
  </si>
  <si>
    <t>Vehículo</t>
  </si>
  <si>
    <t>Deuda</t>
  </si>
  <si>
    <t>Salud</t>
  </si>
  <si>
    <t>Cuidado Personal</t>
  </si>
  <si>
    <t>Indumentaria</t>
  </si>
  <si>
    <t>Educación</t>
  </si>
  <si>
    <t>Trabajo / Negocio</t>
  </si>
  <si>
    <t>Ocio</t>
  </si>
  <si>
    <t>Ingresos</t>
  </si>
  <si>
    <t>Otros</t>
  </si>
  <si>
    <t>Fecha</t>
  </si>
  <si>
    <t>Tipo</t>
  </si>
  <si>
    <t>Subcategoría</t>
  </si>
  <si>
    <t>Descripción / detalle</t>
  </si>
  <si>
    <t>Monto</t>
  </si>
  <si>
    <t>Saldo</t>
  </si>
  <si>
    <t>Medio de pago</t>
  </si>
  <si>
    <t>Notas</t>
  </si>
  <si>
    <t>Gasto</t>
  </si>
  <si>
    <t>Trámites / Legalizaciones</t>
  </si>
  <si>
    <t>Legalizacion documento Emb. Par</t>
  </si>
  <si>
    <t>Apostilla</t>
  </si>
  <si>
    <t>Desayuno</t>
  </si>
  <si>
    <t>Almuerzo</t>
  </si>
  <si>
    <t>Otros transporte</t>
  </si>
  <si>
    <t>Shampoo / Higiene</t>
  </si>
  <si>
    <t>Shampoo</t>
  </si>
  <si>
    <t>Por informacion de documentos</t>
  </si>
  <si>
    <t>Snacks / Golosinas</t>
  </si>
  <si>
    <t>Galletas</t>
  </si>
  <si>
    <t>Repuestos</t>
  </si>
  <si>
    <t>Fusibles</t>
  </si>
  <si>
    <t>Peajes</t>
  </si>
  <si>
    <t>Migraciones</t>
  </si>
  <si>
    <t>Cena</t>
  </si>
  <si>
    <t>Farmacia</t>
  </si>
  <si>
    <t>Farmacia, anis y otros</t>
  </si>
  <si>
    <t>Desconoce</t>
  </si>
  <si>
    <t>Ingreso</t>
  </si>
  <si>
    <t>Trabajo extra</t>
  </si>
  <si>
    <t>Trabajo</t>
  </si>
  <si>
    <t>Aseo personal</t>
  </si>
  <si>
    <t>Toallas</t>
  </si>
  <si>
    <t>desayuno</t>
  </si>
  <si>
    <t>Accesorios</t>
  </si>
  <si>
    <t>Portacelular</t>
  </si>
  <si>
    <t>Equipamiento hogar</t>
  </si>
  <si>
    <t>Termo</t>
  </si>
  <si>
    <t>Parlante y cable</t>
  </si>
  <si>
    <t>Alquiler galpón</t>
  </si>
  <si>
    <t>Alquiler galpon</t>
  </si>
  <si>
    <t>Combustible</t>
  </si>
  <si>
    <t>Otros alimentación</t>
  </si>
  <si>
    <t>De dias 1,2</t>
  </si>
  <si>
    <t>Peluquería / Barbería</t>
  </si>
  <si>
    <t>corte de pelo</t>
  </si>
  <si>
    <t>otros</t>
  </si>
  <si>
    <t>RESUMEN MENSUAL Y POR CATEGORÍA</t>
  </si>
  <si>
    <t>Mes</t>
  </si>
  <si>
    <t>Gastos</t>
  </si>
  <si>
    <t>Saldo cierre</t>
  </si>
  <si>
    <t>Estado</t>
  </si>
  <si>
    <t>CONTROL DE DEUDAS</t>
  </si>
  <si>
    <t>Acreedor</t>
  </si>
  <si>
    <t>Nivel</t>
  </si>
  <si>
    <t>Total deuda</t>
  </si>
  <si>
    <t>Cuota mensual</t>
  </si>
  <si>
    <t>Día pago</t>
  </si>
  <si>
    <t>Moneda</t>
  </si>
  <si>
    <t>Pagado acum.</t>
  </si>
  <si>
    <t>Saldo pendiente</t>
  </si>
  <si>
    <t>BBVA</t>
  </si>
  <si>
    <t>1 - Crítica</t>
  </si>
  <si>
    <t>Tarjeta</t>
  </si>
  <si>
    <t>S/</t>
  </si>
  <si>
    <t>Pendiente</t>
  </si>
  <si>
    <t>Mi Banco</t>
  </si>
  <si>
    <t>Préstamo</t>
  </si>
  <si>
    <t>Olinda Bravo</t>
  </si>
  <si>
    <t>2 - Familiar</t>
  </si>
  <si>
    <t>Personal</t>
  </si>
  <si>
    <t>Jose Cotrina</t>
  </si>
  <si>
    <t>More Mendoza</t>
  </si>
  <si>
    <t>3 - Sin interés</t>
  </si>
  <si>
    <t>Juan Bravo - Minivan</t>
  </si>
  <si>
    <t>Elvi Bravo</t>
  </si>
  <si>
    <t>David Portilla</t>
  </si>
  <si>
    <t>Tarjeta viaje</t>
  </si>
  <si>
    <t>Tarjeta USD</t>
  </si>
  <si>
    <t>USD</t>
  </si>
  <si>
    <t>TOTAL</t>
  </si>
  <si>
    <t>CONTROL PERSONAL - HÁBITOS Y DECISIONES</t>
  </si>
  <si>
    <t>Sueño</t>
  </si>
  <si>
    <t>Entrenamiento</t>
  </si>
  <si>
    <t>Estudio</t>
  </si>
  <si>
    <t>Trabajo clave</t>
  </si>
  <si>
    <t>Gasto impulsivo</t>
  </si>
  <si>
    <t>Comentario</t>
  </si>
  <si>
    <t>LISTAS MAESTRAS - FINANZAS PERSONALES</t>
  </si>
  <si>
    <t>Estado deuda</t>
  </si>
  <si>
    <t>Categorías únicas</t>
  </si>
  <si>
    <t>Efectivo</t>
  </si>
  <si>
    <t>Yape / Plin</t>
  </si>
  <si>
    <t>Pagado</t>
  </si>
  <si>
    <t>Tarjeta débito</t>
  </si>
  <si>
    <t>Parcial</t>
  </si>
  <si>
    <t>Tarjeta crédito</t>
  </si>
  <si>
    <t>Vencido</t>
  </si>
  <si>
    <t>Café</t>
  </si>
  <si>
    <t>Transferencia</t>
  </si>
  <si>
    <t>Delivery</t>
  </si>
  <si>
    <t>Restaurante</t>
  </si>
  <si>
    <t>Supermercado</t>
  </si>
  <si>
    <t>Agua / Bebidas</t>
  </si>
  <si>
    <t>Alquiler</t>
  </si>
  <si>
    <t>Luz</t>
  </si>
  <si>
    <t>Agua</t>
  </si>
  <si>
    <t>Internet</t>
  </si>
  <si>
    <t>Gas</t>
  </si>
  <si>
    <t>Mantenimiento hogar</t>
  </si>
  <si>
    <t>Otros vivienda</t>
  </si>
  <si>
    <t>Pasaje público</t>
  </si>
  <si>
    <t>Taxi / Indriver</t>
  </si>
  <si>
    <t>Estacionamiento</t>
  </si>
  <si>
    <t>Mantenimiento preventivo</t>
  </si>
  <si>
    <t>Mantenimiento correctivo</t>
  </si>
  <si>
    <t>Llantas</t>
  </si>
  <si>
    <t>Aceite / Filtros</t>
  </si>
  <si>
    <t>Lavado</t>
  </si>
  <si>
    <t>SOAT / Seguro</t>
  </si>
  <si>
    <t>Revisión técnica</t>
  </si>
  <si>
    <t>Compra de vehículo</t>
  </si>
  <si>
    <t>Otros vehículo</t>
  </si>
  <si>
    <t>Tarjeta de crédito</t>
  </si>
  <si>
    <t>Préstamo bancario</t>
  </si>
  <si>
    <t>Préstamo familiar</t>
  </si>
  <si>
    <t>Cuota fija</t>
  </si>
  <si>
    <t>Intereses / Mora</t>
  </si>
  <si>
    <t>Otros deuda</t>
  </si>
  <si>
    <t>Médico</t>
  </si>
  <si>
    <t>Seguro salud</t>
  </si>
  <si>
    <t>Dentista</t>
  </si>
  <si>
    <t>Exámenes</t>
  </si>
  <si>
    <t>Otros salud</t>
  </si>
  <si>
    <t>Gym</t>
  </si>
  <si>
    <t>Suplementos</t>
  </si>
  <si>
    <t>Otros cuidado personal</t>
  </si>
  <si>
    <t>Ropa diaria</t>
  </si>
  <si>
    <t>Ropa trabajo</t>
  </si>
  <si>
    <t>Ropa deportiva</t>
  </si>
  <si>
    <t>Calzado</t>
  </si>
  <si>
    <t>Otros indumentaria</t>
  </si>
  <si>
    <t>Cursos</t>
  </si>
  <si>
    <t>Libros</t>
  </si>
  <si>
    <t>Herramientas / Software</t>
  </si>
  <si>
    <t>Diseño gráfico</t>
  </si>
  <si>
    <t>Marketing</t>
  </si>
  <si>
    <t>Otros educación</t>
  </si>
  <si>
    <t>Herramientas</t>
  </si>
  <si>
    <t>Materiales</t>
  </si>
  <si>
    <t>Software</t>
  </si>
  <si>
    <t>Trámites</t>
  </si>
  <si>
    <t>Otros trabajo</t>
  </si>
  <si>
    <t>Salidas</t>
  </si>
  <si>
    <t>Cine</t>
  </si>
  <si>
    <t>Viajes</t>
  </si>
  <si>
    <t>Suscripciones</t>
  </si>
  <si>
    <t>Regalos</t>
  </si>
  <si>
    <t>Otros ocio</t>
  </si>
  <si>
    <t>Sueldo</t>
  </si>
  <si>
    <t>Negocio</t>
  </si>
  <si>
    <t>Venta de activo</t>
  </si>
  <si>
    <t>Préstamo recibido</t>
  </si>
  <si>
    <t>Otros ingresos</t>
  </si>
  <si>
    <t>Imprevistos</t>
  </si>
  <si>
    <t>Donaciones</t>
  </si>
  <si>
    <t>Desconocido</t>
  </si>
  <si>
    <t>PRESUPUESTO MENSUAL</t>
  </si>
  <si>
    <t>Límite mensual</t>
  </si>
  <si>
    <t>Prioridad</t>
  </si>
  <si>
    <t>Ajustar según realidad mensual</t>
  </si>
  <si>
    <t>TOTAL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</si>
</sst>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S/  &quot;#,##0.00"/>
    <numFmt numFmtId="166" formatCode="dd/mm/yyyy"/>
    <numFmt numFmtId="167" formatCode="mmm\ yyyy"/>
  </numFmts>
  <fonts count="12" x14ac:knownFonts="1">
    <font>
      <sz val="10"/>
      <name val="Arial"/>
      <family val="2"/>
    </font>
    <font>
      <sz val="10"/>
      <color rgb="FF000000"/>
      <name val="Arial"/>
      <charset val="1"/>
    </font>
    <font>
      <b/>
      <sz val="16"/>
      <color rgb="FFFFFFFF"/>
      <name val="Arial"/>
      <charset val="1"/>
    </font>
    <font>
      <sz val="11"/>
      <color rgb="FF000000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i/>
      <sz val="10"/>
      <color rgb="FF2E75B6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sz val="11"/>
      <color theme="1"/>
      <name val="Arial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D5F5E3"/>
      </patternFill>
    </fill>
    <fill>
      <patternFill patternType="solid">
        <fgColor rgb="FFD6E4F0"/>
        <bgColor rgb="FFD9EAD3"/>
      </patternFill>
    </fill>
    <fill>
      <patternFill patternType="solid">
        <fgColor rgb="FFD5F5E3"/>
        <bgColor rgb="FFDCFCE7"/>
      </patternFill>
    </fill>
    <fill>
      <patternFill patternType="solid">
        <fgColor rgb="FFFADBD8"/>
        <bgColor rgb="FFFEE2E2"/>
      </patternFill>
    </fill>
    <fill>
      <patternFill patternType="solid">
        <fgColor rgb="FFEBF5FB"/>
        <bgColor rgb="FFF2F2F2"/>
      </patternFill>
    </fill>
    <fill>
      <patternFill patternType="solid">
        <fgColor rgb="FFF9E79F"/>
        <bgColor rgb="FFFADBD8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5FB"/>
      </patternFill>
    </fill>
    <fill>
      <patternFill patternType="solid">
        <fgColor rgb="FF0A2137"/>
        <bgColor rgb="FF1F3864"/>
      </patternFill>
    </fill>
    <fill>
      <patternFill patternType="solid">
        <fgColor rgb="FF2E75B6"/>
        <bgColor rgb="FF4285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8" fillId="11" borderId="0" xfId="1" applyFont="1" applyFill="1" applyAlignment="1">
      <alignment horizontal="center" vertical="center"/>
    </xf>
    <xf numFmtId="0" fontId="10" fillId="11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1" fillId="0" borderId="0" xfId="1"/>
    <xf numFmtId="0" fontId="3" fillId="3" borderId="0" xfId="1" applyFont="1" applyFill="1"/>
    <xf numFmtId="0" fontId="4" fillId="4" borderId="1" xfId="1" applyFont="1" applyFill="1" applyBorder="1" applyAlignment="1">
      <alignment horizontal="left" vertical="center"/>
    </xf>
    <xf numFmtId="4" fontId="5" fillId="4" borderId="1" xfId="1" applyNumberFormat="1" applyFont="1" applyFill="1" applyBorder="1" applyAlignment="1">
      <alignment horizontal="right" vertical="center"/>
    </xf>
    <xf numFmtId="0" fontId="6" fillId="3" borderId="0" xfId="1" applyFont="1" applyFill="1"/>
    <xf numFmtId="0" fontId="4" fillId="5" borderId="1" xfId="1" applyFont="1" applyFill="1" applyBorder="1" applyAlignment="1">
      <alignment horizontal="left" vertical="center"/>
    </xf>
    <xf numFmtId="4" fontId="5" fillId="5" borderId="1" xfId="1" applyNumberFormat="1" applyFont="1" applyFill="1" applyBorder="1" applyAlignment="1">
      <alignment horizontal="right" vertical="center"/>
    </xf>
    <xf numFmtId="0" fontId="7" fillId="2" borderId="1" xfId="1" applyFont="1" applyFill="1" applyBorder="1" applyAlignment="1">
      <alignment horizontal="center"/>
    </xf>
    <xf numFmtId="0" fontId="4" fillId="6" borderId="1" xfId="1" applyFont="1" applyFill="1" applyBorder="1" applyAlignment="1">
      <alignment horizontal="left" vertical="center"/>
    </xf>
    <xf numFmtId="4" fontId="5" fillId="6" borderId="1" xfId="1" applyNumberFormat="1" applyFont="1" applyFill="1" applyBorder="1" applyAlignment="1">
      <alignment horizontal="right" vertical="center"/>
    </xf>
    <xf numFmtId="0" fontId="5" fillId="7" borderId="1" xfId="1" applyFont="1" applyFill="1" applyBorder="1"/>
    <xf numFmtId="4" fontId="5" fillId="7" borderId="1" xfId="1" applyNumberFormat="1" applyFont="1" applyFill="1" applyBorder="1" applyAlignment="1">
      <alignment horizontal="right"/>
    </xf>
    <xf numFmtId="4" fontId="3" fillId="3" borderId="1" xfId="1" applyNumberFormat="1" applyFont="1" applyFill="1" applyBorder="1" applyAlignment="1">
      <alignment horizontal="right"/>
    </xf>
    <xf numFmtId="0" fontId="4" fillId="8" borderId="1" xfId="1" applyFont="1" applyFill="1" applyBorder="1" applyAlignment="1">
      <alignment horizontal="left" vertical="center"/>
    </xf>
    <xf numFmtId="4" fontId="5" fillId="8" borderId="1" xfId="1" applyNumberFormat="1" applyFont="1" applyFill="1" applyBorder="1" applyAlignment="1">
      <alignment horizontal="right" vertical="center"/>
    </xf>
    <xf numFmtId="0" fontId="5" fillId="9" borderId="1" xfId="1" applyFont="1" applyFill="1" applyBorder="1"/>
    <xf numFmtId="4" fontId="5" fillId="9" borderId="1" xfId="1" applyNumberFormat="1" applyFont="1" applyFill="1" applyBorder="1" applyAlignment="1">
      <alignment horizontal="right"/>
    </xf>
    <xf numFmtId="0" fontId="4" fillId="10" borderId="1" xfId="1" applyFont="1" applyFill="1" applyBorder="1" applyAlignment="1">
      <alignment horizontal="left" vertical="center"/>
    </xf>
    <xf numFmtId="164" fontId="5" fillId="10" borderId="1" xfId="1" applyNumberFormat="1" applyFont="1" applyFill="1" applyBorder="1" applyAlignment="1">
      <alignment horizontal="right" vertical="center"/>
    </xf>
    <xf numFmtId="164" fontId="5" fillId="5" borderId="1" xfId="1" applyNumberFormat="1" applyFont="1" applyFill="1" applyBorder="1" applyAlignment="1">
      <alignment horizontal="right" vertical="center"/>
    </xf>
    <xf numFmtId="165" fontId="3" fillId="3" borderId="0" xfId="1" applyNumberFormat="1" applyFont="1" applyFill="1"/>
    <xf numFmtId="0" fontId="8" fillId="11" borderId="0" xfId="1" applyFont="1" applyFill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166" fontId="5" fillId="9" borderId="1" xfId="1" applyNumberFormat="1" applyFont="1" applyFill="1" applyBorder="1"/>
    <xf numFmtId="0" fontId="5" fillId="9" borderId="1" xfId="1" applyFont="1" applyFill="1" applyBorder="1" applyAlignment="1">
      <alignment wrapText="1"/>
    </xf>
    <xf numFmtId="4" fontId="5" fillId="0" borderId="1" xfId="1" applyNumberFormat="1" applyFont="1" applyBorder="1" applyAlignment="1">
      <alignment horizontal="right"/>
    </xf>
    <xf numFmtId="4" fontId="5" fillId="9" borderId="1" xfId="1" applyNumberFormat="1" applyFont="1" applyFill="1" applyBorder="1"/>
    <xf numFmtId="0" fontId="9" fillId="0" borderId="0" xfId="1" applyFont="1"/>
    <xf numFmtId="166" fontId="5" fillId="7" borderId="1" xfId="1" applyNumberFormat="1" applyFont="1" applyFill="1" applyBorder="1"/>
    <xf numFmtId="0" fontId="5" fillId="7" borderId="1" xfId="1" applyFont="1" applyFill="1" applyBorder="1" applyAlignment="1">
      <alignment wrapText="1"/>
    </xf>
    <xf numFmtId="4" fontId="5" fillId="7" borderId="1" xfId="1" applyNumberFormat="1" applyFont="1" applyFill="1" applyBorder="1"/>
    <xf numFmtId="166" fontId="1" fillId="0" borderId="0" xfId="1" applyNumberFormat="1"/>
    <xf numFmtId="0" fontId="1" fillId="0" borderId="0" xfId="1" applyAlignment="1">
      <alignment wrapText="1"/>
    </xf>
    <xf numFmtId="165" fontId="9" fillId="0" borderId="0" xfId="1" applyNumberFormat="1" applyFont="1"/>
    <xf numFmtId="165" fontId="1" fillId="0" borderId="0" xfId="1" applyNumberFormat="1"/>
    <xf numFmtId="167" fontId="5" fillId="9" borderId="1" xfId="1" applyNumberFormat="1" applyFont="1" applyFill="1" applyBorder="1"/>
    <xf numFmtId="167" fontId="5" fillId="7" borderId="1" xfId="1" applyNumberFormat="1" applyFont="1" applyFill="1" applyBorder="1"/>
    <xf numFmtId="0" fontId="7" fillId="2" borderId="1" xfId="1" applyFont="1" applyFill="1" applyBorder="1" applyAlignment="1">
      <alignment horizontal="center" wrapText="1"/>
    </xf>
    <xf numFmtId="166" fontId="7" fillId="2" borderId="1" xfId="1" applyNumberFormat="1" applyFont="1" applyFill="1" applyBorder="1" applyAlignment="1">
      <alignment horizontal="center" wrapText="1"/>
    </xf>
    <xf numFmtId="165" fontId="5" fillId="9" borderId="1" xfId="1" applyNumberFormat="1" applyFont="1" applyFill="1" applyBorder="1" applyAlignment="1">
      <alignment wrapText="1"/>
    </xf>
    <xf numFmtId="4" fontId="5" fillId="9" borderId="1" xfId="1" applyNumberFormat="1" applyFont="1" applyFill="1" applyBorder="1" applyAlignment="1">
      <alignment wrapText="1"/>
    </xf>
    <xf numFmtId="165" fontId="5" fillId="7" borderId="1" xfId="1" applyNumberFormat="1" applyFont="1" applyFill="1" applyBorder="1" applyAlignment="1">
      <alignment wrapText="1"/>
    </xf>
    <xf numFmtId="4" fontId="5" fillId="7" borderId="1" xfId="1" applyNumberFormat="1" applyFont="1" applyFill="1" applyBorder="1" applyAlignment="1">
      <alignment wrapText="1"/>
    </xf>
    <xf numFmtId="0" fontId="7" fillId="12" borderId="1" xfId="1" applyFont="1" applyFill="1" applyBorder="1" applyAlignment="1">
      <alignment wrapText="1"/>
    </xf>
    <xf numFmtId="0" fontId="9" fillId="12" borderId="1" xfId="1" applyFont="1" applyFill="1" applyBorder="1" applyAlignment="1">
      <alignment wrapText="1"/>
    </xf>
    <xf numFmtId="165" fontId="1" fillId="12" borderId="1" xfId="1" applyNumberFormat="1" applyFill="1" applyBorder="1" applyAlignment="1">
      <alignment wrapText="1"/>
    </xf>
    <xf numFmtId="4" fontId="7" fillId="12" borderId="1" xfId="1" applyNumberFormat="1" applyFont="1" applyFill="1" applyBorder="1" applyAlignment="1">
      <alignment wrapText="1"/>
    </xf>
    <xf numFmtId="0" fontId="1" fillId="12" borderId="1" xfId="1" applyFill="1" applyBorder="1" applyAlignment="1">
      <alignment wrapText="1"/>
    </xf>
    <xf numFmtId="0" fontId="9" fillId="0" borderId="0" xfId="1" applyFont="1" applyAlignment="1">
      <alignment wrapText="1"/>
    </xf>
    <xf numFmtId="165" fontId="1" fillId="0" borderId="0" xfId="1" applyNumberFormat="1" applyAlignment="1">
      <alignment wrapText="1"/>
    </xf>
    <xf numFmtId="0" fontId="7" fillId="11" borderId="0" xfId="1" applyFont="1" applyFill="1" applyAlignment="1">
      <alignment horizontal="center"/>
    </xf>
    <xf numFmtId="0" fontId="11" fillId="11" borderId="0" xfId="1" applyFont="1" applyFill="1" applyAlignment="1">
      <alignment horizontal="center"/>
    </xf>
    <xf numFmtId="0" fontId="7" fillId="11" borderId="0" xfId="1" applyFont="1" applyFill="1"/>
    <xf numFmtId="0" fontId="7" fillId="12" borderId="1" xfId="1" applyFont="1" applyFill="1" applyBorder="1"/>
    <xf numFmtId="4" fontId="7" fillId="12" borderId="1" xfId="1" applyNumberFormat="1" applyFont="1" applyFill="1" applyBorder="1"/>
  </cellXfs>
  <cellStyles count="2">
    <cellStyle name="Normal" xfId="0" builtinId="0"/>
    <cellStyle name="Normal 2" xfId="1" xr:uid="{00000000-0005-0000-0000-000006000000}"/>
  </cellStyles>
  <dxfs count="11">
    <dxf>
      <font>
        <b/>
      </font>
      <fill>
        <patternFill>
          <bgColor rgb="FFFEE2E2"/>
        </patternFill>
      </fill>
    </dxf>
    <dxf>
      <font>
        <b/>
        <color rgb="FF1E8449"/>
        <name val="Arial"/>
        <charset val="1"/>
      </font>
      <fill>
        <patternFill>
          <bgColor rgb="FFD5F5E3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DCFCE7"/>
        </patternFill>
      </fill>
    </dxf>
    <dxf>
      <font>
        <b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ont>
        <b/>
      </font>
      <fill>
        <patternFill>
          <bgColor rgb="FFFEE2E2"/>
        </patternFill>
      </fill>
    </dxf>
    <dxf>
      <font>
        <b/>
        <color rgb="FF1E8449"/>
        <name val="Arial"/>
        <charset val="1"/>
      </font>
      <fill>
        <patternFill>
          <bgColor rgb="FFD5F5E3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D9EAD3"/>
      <rgbColor rgb="FF993366"/>
      <rgbColor rgb="FFF2F2F2"/>
      <rgbColor rgb="FFDCFCE7"/>
      <rgbColor rgb="FF660066"/>
      <rgbColor rgb="FFFF8080"/>
      <rgbColor rgb="FF2E75B6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9E79F"/>
      <rgbColor rgb="FFD6E4F0"/>
      <rgbColor rgb="FFFEE2E2"/>
      <rgbColor rgb="FFD9D9D9"/>
      <rgbColor rgb="FFFADBD8"/>
      <rgbColor rgb="FF4285F4"/>
      <rgbColor rgb="FF33CCCC"/>
      <rgbColor rgb="FF99CC00"/>
      <rgbColor rgb="FFFBBC04"/>
      <rgbColor rgb="FFFF9900"/>
      <rgbColor rgb="FFEA4335"/>
      <rgbColor rgb="FF666699"/>
      <rgbColor rgb="FF969696"/>
      <rgbColor rgb="FF1F3864"/>
      <rgbColor rgb="FF1E8449"/>
      <rgbColor rgb="FF0A2137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Gasto del mes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Gasto mes</c:v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Dashboard!$E$5:$E$17</c:f>
              <c:strCache>
                <c:ptCount val="13"/>
                <c:pt idx="0">
                  <c:v>Alimentación</c:v>
                </c:pt>
                <c:pt idx="1">
                  <c:v>Vivienda</c:v>
                </c:pt>
                <c:pt idx="2">
                  <c:v>Transporte</c:v>
                </c:pt>
                <c:pt idx="3">
                  <c:v>Vehículo</c:v>
                </c:pt>
                <c:pt idx="4">
                  <c:v>Deuda</c:v>
                </c:pt>
                <c:pt idx="5">
                  <c:v>Salud</c:v>
                </c:pt>
                <c:pt idx="6">
                  <c:v>Cuidado Personal</c:v>
                </c:pt>
                <c:pt idx="7">
                  <c:v>Indumentaria</c:v>
                </c:pt>
                <c:pt idx="8">
                  <c:v>Educación</c:v>
                </c:pt>
                <c:pt idx="9">
                  <c:v>Trabajo / Negocio</c:v>
                </c:pt>
                <c:pt idx="10">
                  <c:v>Ocio</c:v>
                </c:pt>
                <c:pt idx="11">
                  <c:v>Ingresos</c:v>
                </c:pt>
                <c:pt idx="12">
                  <c:v>Otros</c:v>
                </c:pt>
              </c:strCache>
            </c:strRef>
          </c:cat>
          <c:val>
            <c:numRef>
              <c:f>Dashboard!$F$5:$F$17</c:f>
              <c:numCache>
                <c:formatCode>#,##0.00</c:formatCode>
                <c:ptCount val="13"/>
                <c:pt idx="0">
                  <c:v>113</c:v>
                </c:pt>
                <c:pt idx="1">
                  <c:v>35.5</c:v>
                </c:pt>
                <c:pt idx="2">
                  <c:v>0</c:v>
                </c:pt>
                <c:pt idx="3">
                  <c:v>120</c:v>
                </c:pt>
                <c:pt idx="4">
                  <c:v>300</c:v>
                </c:pt>
                <c:pt idx="5">
                  <c:v>0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1-496C-8CC9-B55993F4F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10224"/>
        <c:axId val="65934775"/>
      </c:barChart>
      <c:catAx>
        <c:axId val="2331022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5934775"/>
        <c:crosses val="autoZero"/>
        <c:auto val="1"/>
        <c:lblAlgn val="ctr"/>
        <c:lblOffset val="100"/>
        <c:noMultiLvlLbl val="0"/>
      </c:catAx>
      <c:valAx>
        <c:axId val="6593477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33102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Flujo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Ingresos</c:v>
          </c:tx>
          <c:spPr>
            <a:ln w="1908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RESUMEN!$B$4:$B$15</c:f>
              <c:numCache>
                <c:formatCode>mmm\ 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RESUMEN!$C$4:$C$15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3-48CA-BA1B-FCBF76AA42B5}"/>
            </c:ext>
          </c:extLst>
        </c:ser>
        <c:ser>
          <c:idx val="1"/>
          <c:order val="1"/>
          <c:tx>
            <c:v>Gastos</c:v>
          </c:tx>
          <c:spPr>
            <a:ln w="19080">
              <a:solidFill>
                <a:srgbClr val="EA43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RESUMEN!$B$4:$B$15</c:f>
              <c:numCache>
                <c:formatCode>mmm\ 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RESUMEN!$D$4:$D$15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631.4</c:v>
                </c:pt>
                <c:pt idx="10">
                  <c:v>651.5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53-48CA-BA1B-FCBF76AA42B5}"/>
            </c:ext>
          </c:extLst>
        </c:ser>
        <c:ser>
          <c:idx val="2"/>
          <c:order val="2"/>
          <c:tx>
            <c:v>Flujo neto</c:v>
          </c:tx>
          <c:spPr>
            <a:ln w="19080">
              <a:solidFill>
                <a:srgbClr val="FBBC0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RESUMEN!$B$4:$B$15</c:f>
              <c:numCache>
                <c:formatCode>mmm\ 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RESUMEN!$E$4:$E$15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1368.6</c:v>
                </c:pt>
                <c:pt idx="10">
                  <c:v>-651.5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53-48CA-BA1B-FCBF76AA4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817359"/>
        <c:axId val="80803838"/>
      </c:lineChart>
      <c:dateAx>
        <c:axId val="4781735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mmm\ yyyy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0803838"/>
        <c:crosses val="autoZero"/>
        <c:auto val="1"/>
        <c:lblOffset val="100"/>
        <c:baseTimeUnit val="months"/>
      </c:dateAx>
      <c:valAx>
        <c:axId val="8080383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78173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16</xdr:col>
      <xdr:colOff>889920</xdr:colOff>
      <xdr:row>17</xdr:row>
      <xdr:rowOff>199800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15</xdr:col>
      <xdr:colOff>889920</xdr:colOff>
      <xdr:row>17</xdr:row>
      <xdr:rowOff>199800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ovimientosTabla" displayName="MovimientosTabla" ref="C5:K500" totalsRowShown="0">
  <tableColumns count="9">
    <tableColumn id="1" xr3:uid="{00000000-0010-0000-0000-000001000000}" name="Fecha"/>
    <tableColumn id="2" xr3:uid="{00000000-0010-0000-0000-000002000000}" name="Tipo"/>
    <tableColumn id="3" xr3:uid="{00000000-0010-0000-0000-000003000000}" name="Categoría"/>
    <tableColumn id="4" xr3:uid="{00000000-0010-0000-0000-000004000000}" name="Subcategoría"/>
    <tableColumn id="5" xr3:uid="{00000000-0010-0000-0000-000005000000}" name="Descripción / detalle"/>
    <tableColumn id="6" xr3:uid="{00000000-0010-0000-0000-000006000000}" name="Monto"/>
    <tableColumn id="7" xr3:uid="{00000000-0010-0000-0000-000007000000}" name="Saldo"/>
    <tableColumn id="8" xr3:uid="{00000000-0010-0000-0000-000008000000}" name="Medio de pago"/>
    <tableColumn id="9" xr3:uid="{00000000-0010-0000-0000-000009000000}" name="Nota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udasTabla" displayName="DeudasTabla" ref="B3:K50" totalsRowShown="0">
  <tableColumns count="10">
    <tableColumn id="1" xr3:uid="{00000000-0010-0000-0100-000001000000}" name="Acreedor"/>
    <tableColumn id="2" xr3:uid="{00000000-0010-0000-0100-000002000000}" name="Nivel"/>
    <tableColumn id="3" xr3:uid="{00000000-0010-0000-0100-000003000000}" name="Tipo"/>
    <tableColumn id="4" xr3:uid="{00000000-0010-0000-0100-000004000000}" name="Total deuda"/>
    <tableColumn id="5" xr3:uid="{00000000-0010-0000-0100-000005000000}" name="Cuota mensual"/>
    <tableColumn id="6" xr3:uid="{00000000-0010-0000-0100-000006000000}" name="Día pago"/>
    <tableColumn id="7" xr3:uid="{00000000-0010-0000-0100-000007000000}" name="Moneda"/>
    <tableColumn id="8" xr3:uid="{00000000-0010-0000-0100-000008000000}" name="Estado"/>
    <tableColumn id="9" xr3:uid="{00000000-0010-0000-0100-000009000000}" name="Pagado acum."/>
    <tableColumn id="10" xr3:uid="{00000000-0010-0000-0100-00000A000000}" name="Saldo pendien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esupuestoTabla" displayName="PresupuestoTabla" ref="B3:E16" totalsRowShown="0">
  <tableColumns count="4">
    <tableColumn id="1" xr3:uid="{00000000-0010-0000-0200-000001000000}" name="Categoría"/>
    <tableColumn id="2" xr3:uid="{00000000-0010-0000-0200-000002000000}" name="Límite mensual"/>
    <tableColumn id="3" xr3:uid="{00000000-0010-0000-0200-000003000000}" name="Prioridad"/>
    <tableColumn id="4" xr3:uid="{00000000-0010-0000-0200-000004000000}" name="No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Normal="100" workbookViewId="0">
      <selection activeCell="M24" sqref="M23:M24"/>
    </sheetView>
  </sheetViews>
  <sheetFormatPr baseColWidth="10" defaultColWidth="12.5703125" defaultRowHeight="12.75" x14ac:dyDescent="0.2"/>
  <cols>
    <col min="2" max="2" width="20" style="4" customWidth="1"/>
    <col min="3" max="3" width="12" style="4" customWidth="1"/>
    <col min="4" max="4" width="5" style="4" customWidth="1"/>
    <col min="5" max="5" width="20" style="4" customWidth="1"/>
    <col min="6" max="8" width="13" style="4" customWidth="1"/>
  </cols>
  <sheetData>
    <row r="1" spans="1:26" ht="30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x14ac:dyDescent="0.2">
      <c r="A2" s="5"/>
      <c r="B2" s="6" t="s">
        <v>1</v>
      </c>
      <c r="C2" s="7">
        <v>500</v>
      </c>
      <c r="D2" s="5"/>
      <c r="E2" s="8" t="s">
        <v>2</v>
      </c>
      <c r="F2" s="8" t="s">
        <v>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x14ac:dyDescent="0.2">
      <c r="A3" s="5"/>
      <c r="B3" s="9" t="s">
        <v>4</v>
      </c>
      <c r="C3" s="10">
        <f>LOOKUP(2,1/(MOVIMIENTOS!I6:I500&lt;&gt;""),MOVIMIENTOS!I6:I500)</f>
        <v>1217.0999999999999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x14ac:dyDescent="0.2">
      <c r="A4" s="5"/>
      <c r="B4" s="6" t="s">
        <v>5</v>
      </c>
      <c r="C4" s="7">
        <f ca="1">SUMIFS(MOVIMIENTOS!$H$6:$H$500,MOVIMIENTOS!$D$6:$D$500,"Ingreso",MOVIMIENTOS!$C$6:$C$500,"&gt;="&amp;EOMONTH(TODAY(),-1)+1,MOVIMIENTOS!$C$6:$C$500,"&lt;="&amp;EOMONTH(TODAY(),0))</f>
        <v>0</v>
      </c>
      <c r="D4" s="5"/>
      <c r="E4" s="11" t="s">
        <v>6</v>
      </c>
      <c r="F4" s="11" t="s">
        <v>7</v>
      </c>
      <c r="G4" s="11" t="s">
        <v>8</v>
      </c>
      <c r="H4" s="11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x14ac:dyDescent="0.2">
      <c r="A5" s="5"/>
      <c r="B5" s="12" t="s">
        <v>10</v>
      </c>
      <c r="C5" s="13">
        <f ca="1">SUMIFS(MOVIMIENTOS!$H$6:$H$500,MOVIMIENTOS!$D$6:$D$500,"Gasto",MOVIMIENTOS!$C$6:$C$500,"&gt;="&amp;EOMONTH(TODAY(),-1)+1,MOVIMIENTOS!$C$6:$C$500,"&lt;="&amp;EOMONTH(TODAY(),0))</f>
        <v>651.5</v>
      </c>
      <c r="D5" s="5"/>
      <c r="E5" s="14" t="s">
        <v>11</v>
      </c>
      <c r="F5" s="15">
        <f ca="1">SUMIFS(MOVIMIENTOS!$H$6:$H$500,MOVIMIENTOS!$D$6:$D$500,"Gasto",MOVIMIENTOS!$E$6:$E$500,E5,MOVIMIENTOS!$C$6:$C$500,"&gt;="&amp;EOMONTH(TODAY(),-1)+1,MOVIMIENTOS!$C$6:$C$500,"&lt;="&amp;EOMONTH(TODAY(),0))</f>
        <v>113</v>
      </c>
      <c r="G5" s="15">
        <f>IFERROR(VLOOKUP(E5,PRESUPUESTO!$B$4:$D$50,2,FALSE()),0)</f>
        <v>600</v>
      </c>
      <c r="H5" s="16">
        <f t="shared" ref="H5:H17" ca="1" si="0">G5-F5</f>
        <v>487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x14ac:dyDescent="0.2">
      <c r="A6" s="5"/>
      <c r="B6" s="17" t="s">
        <v>12</v>
      </c>
      <c r="C6" s="18">
        <f ca="1">C4-C5</f>
        <v>-651.5</v>
      </c>
      <c r="D6" s="5"/>
      <c r="E6" s="19" t="s">
        <v>13</v>
      </c>
      <c r="F6" s="20">
        <f ca="1">SUMIFS(MOVIMIENTOS!$H$6:$H$500,MOVIMIENTOS!$D$6:$D$500,"Gasto",MOVIMIENTOS!$E$6:$E$500,E6,MOVIMIENTOS!$C$6:$C$500,"&gt;="&amp;EOMONTH(TODAY(),-1)+1,MOVIMIENTOS!$C$6:$C$500,"&lt;="&amp;EOMONTH(TODAY(),0))</f>
        <v>35.5</v>
      </c>
      <c r="G6" s="20">
        <f>IFERROR(VLOOKUP(E6,PRESUPUESTO!$B$4:$D$50,2,FALSE()),0)</f>
        <v>550</v>
      </c>
      <c r="H6" s="16">
        <f t="shared" ca="1" si="0"/>
        <v>514.5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x14ac:dyDescent="0.2">
      <c r="A7" s="5"/>
      <c r="B7" s="21" t="s">
        <v>14</v>
      </c>
      <c r="C7" s="22">
        <f ca="1">IFERROR(C5/C4,0)</f>
        <v>0</v>
      </c>
      <c r="D7" s="5"/>
      <c r="E7" s="14" t="s">
        <v>15</v>
      </c>
      <c r="F7" s="15">
        <f ca="1">SUMIFS(MOVIMIENTOS!$H$6:$H$500,MOVIMIENTOS!$D$6:$D$500,"Gasto",MOVIMIENTOS!$E$6:$E$500,E7,MOVIMIENTOS!$C$6:$C$500,"&gt;="&amp;EOMONTH(TODAY(),-1)+1,MOVIMIENTOS!$C$6:$C$500,"&lt;="&amp;EOMONTH(TODAY(),0))</f>
        <v>0</v>
      </c>
      <c r="G7" s="15">
        <f>IFERROR(VLOOKUP(E7,PRESUPUESTO!$B$4:$D$50,2,FALSE()),0)</f>
        <v>0</v>
      </c>
      <c r="H7" s="16">
        <f t="shared" ca="1" si="0"/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x14ac:dyDescent="0.2">
      <c r="A8" s="5"/>
      <c r="B8" s="9" t="s">
        <v>16</v>
      </c>
      <c r="C8" s="23">
        <f ca="1">IFERROR(1-C7,0)</f>
        <v>1</v>
      </c>
      <c r="D8" s="5"/>
      <c r="E8" s="19" t="s">
        <v>17</v>
      </c>
      <c r="F8" s="20">
        <f ca="1">SUMIFS(MOVIMIENTOS!$H$6:$H$500,MOVIMIENTOS!$D$6:$D$500,"Gasto",MOVIMIENTOS!$E$6:$E$500,E8,MOVIMIENTOS!$C$6:$C$500,"&gt;="&amp;EOMONTH(TODAY(),-1)+1,MOVIMIENTOS!$C$6:$C$500,"&lt;="&amp;EOMONTH(TODAY(),0))</f>
        <v>120</v>
      </c>
      <c r="G8" s="20">
        <f>IFERROR(VLOOKUP(E8,PRESUPUESTO!$B$4:$D$50,2,FALSE()),0)</f>
        <v>0</v>
      </c>
      <c r="H8" s="16">
        <f t="shared" ca="1" si="0"/>
        <v>-120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x14ac:dyDescent="0.2">
      <c r="A9" s="5"/>
      <c r="B9" s="5"/>
      <c r="C9" s="5"/>
      <c r="D9" s="5"/>
      <c r="E9" s="14" t="s">
        <v>18</v>
      </c>
      <c r="F9" s="15">
        <f ca="1">SUMIFS(MOVIMIENTOS!$H$6:$H$500,MOVIMIENTOS!$D$6:$D$500,"Gasto",MOVIMIENTOS!$E$6:$E$500,E9,MOVIMIENTOS!$C$6:$C$500,"&gt;="&amp;EOMONTH(TODAY(),-1)+1,MOVIMIENTOS!$C$6:$C$500,"&lt;="&amp;EOMONTH(TODAY(),0))</f>
        <v>300</v>
      </c>
      <c r="G9" s="15">
        <f>IFERROR(VLOOKUP(E9,PRESUPUESTO!$B$4:$D$50,2,FALSE()),0)</f>
        <v>1300</v>
      </c>
      <c r="H9" s="16">
        <f t="shared" ca="1" si="0"/>
        <v>1000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x14ac:dyDescent="0.2">
      <c r="A10" s="5"/>
      <c r="B10" s="5"/>
      <c r="C10" s="5"/>
      <c r="D10" s="5"/>
      <c r="E10" s="19" t="s">
        <v>19</v>
      </c>
      <c r="F10" s="20">
        <f ca="1">SUMIFS(MOVIMIENTOS!$H$6:$H$500,MOVIMIENTOS!$D$6:$D$500,"Gasto",MOVIMIENTOS!$E$6:$E$500,E10,MOVIMIENTOS!$C$6:$C$500,"&gt;="&amp;EOMONTH(TODAY(),-1)+1,MOVIMIENTOS!$C$6:$C$500,"&lt;="&amp;EOMONTH(TODAY(),0))</f>
        <v>0</v>
      </c>
      <c r="G10" s="20">
        <f>IFERROR(VLOOKUP(E10,PRESUPUESTO!$B$4:$D$50,2,FALSE()),0)</f>
        <v>0</v>
      </c>
      <c r="H10" s="16">
        <f t="shared" ca="1" si="0"/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x14ac:dyDescent="0.2">
      <c r="A11" s="5"/>
      <c r="B11" s="5"/>
      <c r="C11" s="5"/>
      <c r="D11" s="5"/>
      <c r="E11" s="14" t="s">
        <v>20</v>
      </c>
      <c r="F11" s="15">
        <f ca="1">SUMIFS(MOVIMIENTOS!$H$6:$H$500,MOVIMIENTOS!$D$6:$D$500,"Gasto",MOVIMIENTOS!$E$6:$E$500,E11,MOVIMIENTOS!$C$6:$C$500,"&gt;="&amp;EOMONTH(TODAY(),-1)+1,MOVIMIENTOS!$C$6:$C$500,"&lt;="&amp;EOMONTH(TODAY(),0))</f>
        <v>16</v>
      </c>
      <c r="G11" s="15">
        <f>IFERROR(VLOOKUP(E11,PRESUPUESTO!$B$4:$D$50,2,FALSE()),0)</f>
        <v>0</v>
      </c>
      <c r="H11" s="16">
        <f t="shared" ca="1" si="0"/>
        <v>-16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x14ac:dyDescent="0.2">
      <c r="A12" s="5"/>
      <c r="B12" s="5"/>
      <c r="C12" s="5"/>
      <c r="D12" s="5"/>
      <c r="E12" s="19" t="s">
        <v>21</v>
      </c>
      <c r="F12" s="20">
        <f ca="1">SUMIFS(MOVIMIENTOS!$H$6:$H$500,MOVIMIENTOS!$D$6:$D$500,"Gasto",MOVIMIENTOS!$E$6:$E$500,E12,MOVIMIENTOS!$C$6:$C$500,"&gt;="&amp;EOMONTH(TODAY(),-1)+1,MOVIMIENTOS!$C$6:$C$500,"&lt;="&amp;EOMONTH(TODAY(),0))</f>
        <v>0</v>
      </c>
      <c r="G12" s="20">
        <f>IFERROR(VLOOKUP(E12,PRESUPUESTO!$B$4:$D$50,2,FALSE()),0)</f>
        <v>0</v>
      </c>
      <c r="H12" s="16">
        <f t="shared" ca="1" si="0"/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x14ac:dyDescent="0.2">
      <c r="A13" s="5"/>
      <c r="B13" s="5"/>
      <c r="C13" s="5"/>
      <c r="D13" s="5"/>
      <c r="E13" s="14" t="s">
        <v>22</v>
      </c>
      <c r="F13" s="15">
        <f ca="1">SUMIFS(MOVIMIENTOS!$H$6:$H$500,MOVIMIENTOS!$D$6:$D$500,"Gasto",MOVIMIENTOS!$E$6:$E$500,E13,MOVIMIENTOS!$C$6:$C$500,"&gt;="&amp;EOMONTH(TODAY(),-1)+1,MOVIMIENTOS!$C$6:$C$500,"&lt;="&amp;EOMONTH(TODAY(),0))</f>
        <v>0</v>
      </c>
      <c r="G13" s="15">
        <f>IFERROR(VLOOKUP(E13,PRESUPUESTO!$B$4:$D$50,2,FALSE()),0)</f>
        <v>0</v>
      </c>
      <c r="H13" s="16">
        <f t="shared" ca="1" si="0"/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x14ac:dyDescent="0.2">
      <c r="A14" s="5"/>
      <c r="B14" s="5"/>
      <c r="C14" s="5"/>
      <c r="D14" s="5"/>
      <c r="E14" s="19" t="s">
        <v>23</v>
      </c>
      <c r="F14" s="20">
        <f ca="1">SUMIFS(MOVIMIENTOS!$H$6:$H$500,MOVIMIENTOS!$D$6:$D$500,"Gasto",MOVIMIENTOS!$E$6:$E$500,E14,MOVIMIENTOS!$C$6:$C$500,"&gt;="&amp;EOMONTH(TODAY(),-1)+1,MOVIMIENTOS!$C$6:$C$500,"&lt;="&amp;EOMONTH(TODAY(),0))</f>
        <v>0</v>
      </c>
      <c r="G14" s="20">
        <f>IFERROR(VLOOKUP(E14,PRESUPUESTO!$B$4:$D$50,2,FALSE()),0)</f>
        <v>0</v>
      </c>
      <c r="H14" s="16">
        <f t="shared" ca="1" si="0"/>
        <v>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x14ac:dyDescent="0.2">
      <c r="A15" s="5"/>
      <c r="B15" s="5"/>
      <c r="C15" s="5"/>
      <c r="D15" s="5"/>
      <c r="E15" s="14" t="s">
        <v>24</v>
      </c>
      <c r="F15" s="15">
        <f ca="1">SUMIFS(MOVIMIENTOS!$H$6:$H$500,MOVIMIENTOS!$D$6:$D$500,"Gasto",MOVIMIENTOS!$E$6:$E$500,E15,MOVIMIENTOS!$C$6:$C$500,"&gt;="&amp;EOMONTH(TODAY(),-1)+1,MOVIMIENTOS!$C$6:$C$500,"&lt;="&amp;EOMONTH(TODAY(),0))</f>
        <v>0</v>
      </c>
      <c r="G15" s="15">
        <f>IFERROR(VLOOKUP(E15,PRESUPUESTO!$B$4:$D$50,2,FALSE()),0)</f>
        <v>0</v>
      </c>
      <c r="H15" s="16">
        <f t="shared" ca="1" si="0"/>
        <v>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x14ac:dyDescent="0.2">
      <c r="A16" s="5"/>
      <c r="B16" s="5"/>
      <c r="C16" s="5"/>
      <c r="D16" s="5"/>
      <c r="E16" s="19" t="s">
        <v>25</v>
      </c>
      <c r="F16" s="20">
        <f ca="1">SUMIFS(MOVIMIENTOS!$H$6:$H$500,MOVIMIENTOS!$D$6:$D$500,"Gasto",MOVIMIENTOS!$E$6:$E$500,E16,MOVIMIENTOS!$C$6:$C$500,"&gt;="&amp;EOMONTH(TODAY(),-1)+1,MOVIMIENTOS!$C$6:$C$500,"&lt;="&amp;EOMONTH(TODAY(),0))</f>
        <v>0</v>
      </c>
      <c r="G16" s="20">
        <f>IFERROR(VLOOKUP(E16,PRESUPUESTO!$B$4:$D$50,2,FALSE()),0)</f>
        <v>0</v>
      </c>
      <c r="H16" s="16">
        <f t="shared" ca="1" si="0"/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x14ac:dyDescent="0.2">
      <c r="A17" s="5"/>
      <c r="B17" s="5"/>
      <c r="C17" s="5"/>
      <c r="D17" s="5"/>
      <c r="E17" s="14" t="s">
        <v>26</v>
      </c>
      <c r="F17" s="15">
        <f ca="1">SUMIFS(MOVIMIENTOS!$H$6:$H$500,MOVIMIENTOS!$D$6:$D$500,"Gasto",MOVIMIENTOS!$E$6:$E$500,E17,MOVIMIENTOS!$C$6:$C$500,"&gt;="&amp;EOMONTH(TODAY(),-1)+1,MOVIMIENTOS!$C$6:$C$500,"&lt;="&amp;EOMONTH(TODAY(),0))</f>
        <v>67</v>
      </c>
      <c r="G17" s="15">
        <f>IFERROR(VLOOKUP(E17,PRESUPUESTO!$B$4:$D$50,2,FALSE()),0)</f>
        <v>0</v>
      </c>
      <c r="H17" s="16">
        <f t="shared" ca="1" si="0"/>
        <v>-67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x14ac:dyDescent="0.2">
      <c r="A18" s="5"/>
      <c r="B18" s="5"/>
      <c r="C18" s="5"/>
      <c r="D18" s="5"/>
      <c r="E18" s="5"/>
      <c r="F18" s="24"/>
      <c r="G18" s="24"/>
      <c r="H18" s="2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x14ac:dyDescent="0.2">
      <c r="A19" s="5"/>
      <c r="B19" s="5"/>
      <c r="C19" s="5"/>
      <c r="D19" s="5"/>
      <c r="E19" s="5"/>
      <c r="F19" s="24"/>
      <c r="G19" s="24"/>
      <c r="H19" s="2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x14ac:dyDescent="0.2">
      <c r="A20" s="5"/>
      <c r="B20" s="5"/>
      <c r="C20" s="5"/>
      <c r="D20" s="5"/>
      <c r="E20" s="5"/>
      <c r="F20" s="24"/>
      <c r="G20" s="24"/>
      <c r="H20" s="2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x14ac:dyDescent="0.2">
      <c r="A21" s="5"/>
      <c r="B21" s="5"/>
      <c r="C21" s="5"/>
      <c r="D21" s="5"/>
      <c r="E21" s="5"/>
      <c r="F21" s="24"/>
      <c r="G21" s="24"/>
      <c r="H21" s="2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x14ac:dyDescent="0.2">
      <c r="A22" s="5"/>
      <c r="B22" s="5"/>
      <c r="C22" s="5"/>
      <c r="D22" s="5"/>
      <c r="E22" s="5"/>
      <c r="F22" s="24"/>
      <c r="G22" s="24"/>
      <c r="H22" s="2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x14ac:dyDescent="0.2">
      <c r="A23" s="5"/>
      <c r="B23" s="5"/>
      <c r="C23" s="5"/>
      <c r="D23" s="5"/>
      <c r="E23" s="5"/>
      <c r="F23" s="24"/>
      <c r="G23" s="24"/>
      <c r="H23" s="2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x14ac:dyDescent="0.2">
      <c r="A24" s="5"/>
      <c r="B24" s="5"/>
      <c r="C24" s="5"/>
      <c r="D24" s="5"/>
      <c r="E24" s="5"/>
      <c r="F24" s="24"/>
      <c r="G24" s="24"/>
      <c r="H24" s="2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x14ac:dyDescent="0.2">
      <c r="A25" s="5"/>
      <c r="B25" s="5"/>
      <c r="C25" s="5"/>
      <c r="D25" s="5"/>
      <c r="E25" s="5"/>
      <c r="F25" s="24"/>
      <c r="G25" s="24"/>
      <c r="H25" s="2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J1"/>
  </mergeCells>
  <conditionalFormatting sqref="H5:H17">
    <cfRule type="cellIs" dxfId="10" priority="4" operator="lessThan">
      <formula>0</formula>
    </cfRule>
    <cfRule type="cellIs" dxfId="9" priority="5" operator="greaterThan">
      <formula>0</formula>
    </cfRule>
  </conditionalFormatting>
  <conditionalFormatting sqref="H5:H25">
    <cfRule type="expression" dxfId="8" priority="2">
      <formula>H5&lt;0</formula>
    </cfRule>
    <cfRule type="expression" dxfId="7" priority="3">
      <formula>H5&gt;=0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3"/>
  <sheetViews>
    <sheetView zoomScaleNormal="100" workbookViewId="0">
      <selection activeCell="J11" sqref="J11"/>
    </sheetView>
  </sheetViews>
  <sheetFormatPr baseColWidth="10" defaultColWidth="12.5703125" defaultRowHeight="12.75" x14ac:dyDescent="0.2"/>
  <cols>
    <col min="3" max="3" width="12" style="4" customWidth="1"/>
    <col min="4" max="4" width="10" style="4" customWidth="1"/>
    <col min="5" max="5" width="18" style="4" customWidth="1"/>
    <col min="6" max="6" width="22" style="4" customWidth="1"/>
    <col min="7" max="7" width="30" style="4" customWidth="1"/>
    <col min="8" max="9" width="12" style="4" customWidth="1"/>
    <col min="10" max="10" width="15" style="4" customWidth="1"/>
    <col min="11" max="11" width="20" style="4" customWidth="1"/>
  </cols>
  <sheetData>
    <row r="1" spans="1:12" ht="27.75" customHeight="1" x14ac:dyDescent="0.2">
      <c r="A1" s="25"/>
      <c r="B1" s="25"/>
      <c r="C1" s="25"/>
      <c r="D1" s="25"/>
      <c r="E1" s="25"/>
      <c r="F1" s="25"/>
      <c r="G1" s="25"/>
      <c r="H1" s="25"/>
      <c r="I1" s="25"/>
      <c r="J1" s="25"/>
    </row>
    <row r="5" spans="1:12" x14ac:dyDescent="0.2">
      <c r="C5" s="26" t="s">
        <v>27</v>
      </c>
      <c r="D5" s="26" t="s">
        <v>28</v>
      </c>
      <c r="E5" s="26" t="s">
        <v>6</v>
      </c>
      <c r="F5" s="26" t="s">
        <v>29</v>
      </c>
      <c r="G5" s="26" t="s">
        <v>30</v>
      </c>
      <c r="H5" s="26" t="s">
        <v>31</v>
      </c>
      <c r="I5" s="26" t="s">
        <v>32</v>
      </c>
      <c r="J5" s="26" t="s">
        <v>33</v>
      </c>
      <c r="K5" s="26" t="s">
        <v>34</v>
      </c>
    </row>
    <row r="6" spans="1:12" ht="14.25" x14ac:dyDescent="0.2">
      <c r="C6" s="27">
        <v>46140</v>
      </c>
      <c r="D6" s="19" t="s">
        <v>35</v>
      </c>
      <c r="E6" s="19" t="s">
        <v>26</v>
      </c>
      <c r="F6" s="19" t="s">
        <v>36</v>
      </c>
      <c r="G6" s="28" t="s">
        <v>37</v>
      </c>
      <c r="H6" s="29">
        <v>106.3</v>
      </c>
      <c r="I6" s="30">
        <f>IF(C6="","",Dashboard!$C$2+IF(D6="Ingreso",H6,-H6))</f>
        <v>393.7</v>
      </c>
      <c r="J6" s="19" t="s">
        <v>119</v>
      </c>
      <c r="K6" s="28"/>
      <c r="L6" s="31">
        <f>SUMIF($E:$E,K6,$G:$G)</f>
        <v>0</v>
      </c>
    </row>
    <row r="7" spans="1:12" ht="14.25" x14ac:dyDescent="0.2">
      <c r="C7" s="32">
        <v>46140</v>
      </c>
      <c r="D7" s="14" t="s">
        <v>35</v>
      </c>
      <c r="E7" s="14" t="s">
        <v>26</v>
      </c>
      <c r="F7" s="14" t="s">
        <v>36</v>
      </c>
      <c r="G7" s="33" t="s">
        <v>38</v>
      </c>
      <c r="H7" s="29">
        <v>31</v>
      </c>
      <c r="I7" s="34">
        <f t="shared" ref="I7:I70" si="0">IF(C7="","",I6+IF(D7="Ingreso",H7,-H7))</f>
        <v>362.7</v>
      </c>
      <c r="J7" s="14" t="s">
        <v>119</v>
      </c>
      <c r="K7" s="33"/>
      <c r="L7" s="31">
        <f>SUMIF($E:$E,K7,$G:$G)</f>
        <v>0</v>
      </c>
    </row>
    <row r="8" spans="1:12" ht="14.25" x14ac:dyDescent="0.2">
      <c r="C8" s="27">
        <v>46140</v>
      </c>
      <c r="D8" s="19" t="s">
        <v>35</v>
      </c>
      <c r="E8" s="19" t="s">
        <v>11</v>
      </c>
      <c r="F8" s="19" t="s">
        <v>39</v>
      </c>
      <c r="G8" s="28" t="s">
        <v>39</v>
      </c>
      <c r="H8" s="29">
        <v>18</v>
      </c>
      <c r="I8" s="30">
        <f t="shared" si="0"/>
        <v>344.7</v>
      </c>
      <c r="J8" s="19"/>
      <c r="K8" s="28"/>
      <c r="L8" s="31">
        <f>SUMIF($E:$E,K8,$G:$G)</f>
        <v>0</v>
      </c>
    </row>
    <row r="9" spans="1:12" x14ac:dyDescent="0.2">
      <c r="C9" s="32">
        <f t="shared" ref="C9:C15" si="1">C7</f>
        <v>46140</v>
      </c>
      <c r="D9" s="14" t="s">
        <v>35</v>
      </c>
      <c r="E9" s="14" t="s">
        <v>11</v>
      </c>
      <c r="F9" s="14" t="s">
        <v>40</v>
      </c>
      <c r="G9" s="33" t="s">
        <v>40</v>
      </c>
      <c r="H9" s="29">
        <v>35</v>
      </c>
      <c r="I9" s="34">
        <f t="shared" si="0"/>
        <v>309.7</v>
      </c>
      <c r="J9" s="14"/>
      <c r="K9" s="33"/>
    </row>
    <row r="10" spans="1:12" x14ac:dyDescent="0.2">
      <c r="C10" s="27">
        <f t="shared" si="1"/>
        <v>46140</v>
      </c>
      <c r="D10" s="19" t="s">
        <v>35</v>
      </c>
      <c r="E10" s="19" t="s">
        <v>15</v>
      </c>
      <c r="F10" s="19" t="s">
        <v>41</v>
      </c>
      <c r="G10" s="28"/>
      <c r="H10" s="29">
        <v>10</v>
      </c>
      <c r="I10" s="30">
        <f t="shared" si="0"/>
        <v>299.7</v>
      </c>
      <c r="J10" s="19"/>
      <c r="K10" s="28"/>
    </row>
    <row r="11" spans="1:12" x14ac:dyDescent="0.2">
      <c r="C11" s="32">
        <f t="shared" si="1"/>
        <v>46140</v>
      </c>
      <c r="D11" s="14" t="s">
        <v>35</v>
      </c>
      <c r="E11" s="14" t="s">
        <v>20</v>
      </c>
      <c r="F11" s="14" t="s">
        <v>42</v>
      </c>
      <c r="G11" s="33" t="s">
        <v>43</v>
      </c>
      <c r="H11" s="29">
        <v>3</v>
      </c>
      <c r="I11" s="34">
        <f t="shared" si="0"/>
        <v>296.7</v>
      </c>
      <c r="J11" s="14"/>
      <c r="K11" s="33"/>
    </row>
    <row r="12" spans="1:12" x14ac:dyDescent="0.2">
      <c r="C12" s="27">
        <f t="shared" si="1"/>
        <v>46140</v>
      </c>
      <c r="D12" s="19" t="s">
        <v>35</v>
      </c>
      <c r="E12" s="19" t="s">
        <v>26</v>
      </c>
      <c r="F12" s="19" t="s">
        <v>26</v>
      </c>
      <c r="G12" s="28" t="s">
        <v>44</v>
      </c>
      <c r="H12" s="29">
        <v>15</v>
      </c>
      <c r="I12" s="30">
        <f t="shared" si="0"/>
        <v>281.7</v>
      </c>
      <c r="J12" s="19"/>
      <c r="K12" s="28"/>
    </row>
    <row r="13" spans="1:12" x14ac:dyDescent="0.2">
      <c r="C13" s="32">
        <f t="shared" si="1"/>
        <v>46140</v>
      </c>
      <c r="D13" s="14" t="s">
        <v>35</v>
      </c>
      <c r="E13" s="14" t="s">
        <v>11</v>
      </c>
      <c r="F13" s="14" t="s">
        <v>45</v>
      </c>
      <c r="G13" s="33" t="s">
        <v>46</v>
      </c>
      <c r="H13" s="29">
        <v>8</v>
      </c>
      <c r="I13" s="34">
        <f t="shared" si="0"/>
        <v>273.7</v>
      </c>
      <c r="J13" s="14"/>
      <c r="K13" s="33"/>
    </row>
    <row r="14" spans="1:12" x14ac:dyDescent="0.2">
      <c r="C14" s="27">
        <f t="shared" si="1"/>
        <v>46140</v>
      </c>
      <c r="D14" s="19" t="s">
        <v>35</v>
      </c>
      <c r="E14" s="19" t="s">
        <v>17</v>
      </c>
      <c r="F14" s="19" t="s">
        <v>47</v>
      </c>
      <c r="G14" s="28" t="s">
        <v>48</v>
      </c>
      <c r="H14" s="29">
        <v>11</v>
      </c>
      <c r="I14" s="30">
        <f t="shared" si="0"/>
        <v>262.7</v>
      </c>
      <c r="J14" s="19"/>
      <c r="K14" s="28"/>
    </row>
    <row r="15" spans="1:12" x14ac:dyDescent="0.2">
      <c r="C15" s="32">
        <f t="shared" si="1"/>
        <v>46140</v>
      </c>
      <c r="D15" s="14" t="s">
        <v>35</v>
      </c>
      <c r="E15" s="14" t="s">
        <v>15</v>
      </c>
      <c r="F15" s="14" t="s">
        <v>49</v>
      </c>
      <c r="G15" s="33" t="s">
        <v>49</v>
      </c>
      <c r="H15" s="29">
        <v>32.200000000000003</v>
      </c>
      <c r="I15" s="34">
        <f t="shared" si="0"/>
        <v>230.5</v>
      </c>
      <c r="J15" s="14"/>
      <c r="K15" s="33"/>
    </row>
    <row r="16" spans="1:12" x14ac:dyDescent="0.2">
      <c r="C16" s="27">
        <v>46140</v>
      </c>
      <c r="D16" s="19" t="s">
        <v>35</v>
      </c>
      <c r="E16" s="19" t="s">
        <v>26</v>
      </c>
      <c r="F16" s="19" t="s">
        <v>50</v>
      </c>
      <c r="G16" s="28" t="s">
        <v>50</v>
      </c>
      <c r="H16" s="29">
        <v>161.4</v>
      </c>
      <c r="I16" s="30">
        <f t="shared" si="0"/>
        <v>69.099999999999994</v>
      </c>
      <c r="J16" s="19"/>
      <c r="K16" s="28"/>
    </row>
    <row r="17" spans="3:11" x14ac:dyDescent="0.2">
      <c r="C17" s="32">
        <v>46140</v>
      </c>
      <c r="D17" s="14" t="s">
        <v>35</v>
      </c>
      <c r="E17" s="14" t="s">
        <v>11</v>
      </c>
      <c r="F17" s="14" t="s">
        <v>51</v>
      </c>
      <c r="G17" s="33" t="s">
        <v>51</v>
      </c>
      <c r="H17" s="29">
        <v>26</v>
      </c>
      <c r="I17" s="34">
        <f t="shared" si="0"/>
        <v>43.099999999999994</v>
      </c>
      <c r="J17" s="14"/>
      <c r="K17" s="33"/>
    </row>
    <row r="18" spans="3:11" x14ac:dyDescent="0.2">
      <c r="C18" s="27">
        <v>46140</v>
      </c>
      <c r="D18" s="19" t="s">
        <v>35</v>
      </c>
      <c r="E18" s="19" t="s">
        <v>19</v>
      </c>
      <c r="F18" s="19" t="s">
        <v>52</v>
      </c>
      <c r="G18" s="28" t="s">
        <v>53</v>
      </c>
      <c r="H18" s="29">
        <v>14.5</v>
      </c>
      <c r="I18" s="30">
        <f t="shared" si="0"/>
        <v>28.599999999999994</v>
      </c>
      <c r="J18" s="19"/>
      <c r="K18" s="28"/>
    </row>
    <row r="19" spans="3:11" x14ac:dyDescent="0.2">
      <c r="C19" s="32">
        <v>46141</v>
      </c>
      <c r="D19" s="14" t="s">
        <v>35</v>
      </c>
      <c r="E19" s="14" t="s">
        <v>11</v>
      </c>
      <c r="F19" s="14" t="s">
        <v>39</v>
      </c>
      <c r="G19" s="33" t="s">
        <v>39</v>
      </c>
      <c r="H19" s="29">
        <v>6</v>
      </c>
      <c r="I19" s="34">
        <f t="shared" si="0"/>
        <v>22.599999999999994</v>
      </c>
      <c r="J19" s="14"/>
      <c r="K19" s="33"/>
    </row>
    <row r="20" spans="3:11" x14ac:dyDescent="0.2">
      <c r="C20" s="27">
        <v>46141</v>
      </c>
      <c r="D20" s="19" t="s">
        <v>35</v>
      </c>
      <c r="E20" s="19" t="s">
        <v>15</v>
      </c>
      <c r="F20" s="19" t="s">
        <v>41</v>
      </c>
      <c r="G20" s="28"/>
      <c r="H20" s="29">
        <v>5.5</v>
      </c>
      <c r="I20" s="30">
        <f t="shared" si="0"/>
        <v>17.099999999999994</v>
      </c>
      <c r="J20" s="19"/>
      <c r="K20" s="28"/>
    </row>
    <row r="21" spans="3:11" x14ac:dyDescent="0.2">
      <c r="C21" s="32">
        <v>46141</v>
      </c>
      <c r="D21" s="14" t="s">
        <v>35</v>
      </c>
      <c r="E21" s="14" t="s">
        <v>26</v>
      </c>
      <c r="F21" s="14" t="s">
        <v>26</v>
      </c>
      <c r="G21" s="33" t="s">
        <v>54</v>
      </c>
      <c r="H21" s="29">
        <v>6.1</v>
      </c>
      <c r="I21" s="34">
        <f t="shared" si="0"/>
        <v>10.999999999999995</v>
      </c>
      <c r="J21" s="14"/>
      <c r="K21" s="33"/>
    </row>
    <row r="22" spans="3:11" x14ac:dyDescent="0.2">
      <c r="C22" s="27">
        <v>46141</v>
      </c>
      <c r="D22" s="19" t="s">
        <v>55</v>
      </c>
      <c r="E22" s="19" t="s">
        <v>25</v>
      </c>
      <c r="F22" s="19" t="s">
        <v>56</v>
      </c>
      <c r="G22" s="28" t="s">
        <v>57</v>
      </c>
      <c r="H22" s="29">
        <v>2000</v>
      </c>
      <c r="I22" s="30">
        <f t="shared" si="0"/>
        <v>2011</v>
      </c>
      <c r="J22" s="19"/>
      <c r="K22" s="28"/>
    </row>
    <row r="23" spans="3:11" x14ac:dyDescent="0.2">
      <c r="C23" s="32">
        <v>46141</v>
      </c>
      <c r="D23" s="14" t="s">
        <v>35</v>
      </c>
      <c r="E23" s="14" t="s">
        <v>11</v>
      </c>
      <c r="F23" s="14" t="s">
        <v>51</v>
      </c>
      <c r="G23" s="33" t="s">
        <v>51</v>
      </c>
      <c r="H23" s="29">
        <v>41</v>
      </c>
      <c r="I23" s="34">
        <f t="shared" si="0"/>
        <v>1970</v>
      </c>
      <c r="J23" s="14"/>
      <c r="K23" s="33"/>
    </row>
    <row r="24" spans="3:11" x14ac:dyDescent="0.2">
      <c r="C24" s="27">
        <v>46141</v>
      </c>
      <c r="D24" s="19" t="s">
        <v>35</v>
      </c>
      <c r="E24" s="19" t="s">
        <v>20</v>
      </c>
      <c r="F24" s="19" t="s">
        <v>58</v>
      </c>
      <c r="G24" s="28" t="s">
        <v>59</v>
      </c>
      <c r="H24" s="29">
        <v>8.4</v>
      </c>
      <c r="I24" s="30">
        <f t="shared" si="0"/>
        <v>1961.6</v>
      </c>
      <c r="J24" s="19"/>
      <c r="K24" s="28"/>
    </row>
    <row r="25" spans="3:11" x14ac:dyDescent="0.2">
      <c r="C25" s="32">
        <v>46142</v>
      </c>
      <c r="D25" s="14" t="s">
        <v>35</v>
      </c>
      <c r="E25" s="14" t="s">
        <v>11</v>
      </c>
      <c r="F25" s="14" t="s">
        <v>40</v>
      </c>
      <c r="G25" s="33" t="s">
        <v>40</v>
      </c>
      <c r="H25" s="29">
        <v>39</v>
      </c>
      <c r="I25" s="34">
        <f t="shared" si="0"/>
        <v>1922.6</v>
      </c>
      <c r="J25" s="14"/>
      <c r="K25" s="33"/>
    </row>
    <row r="26" spans="3:11" x14ac:dyDescent="0.2">
      <c r="C26" s="27">
        <v>46142</v>
      </c>
      <c r="D26" s="19" t="s">
        <v>35</v>
      </c>
      <c r="E26" s="19" t="s">
        <v>11</v>
      </c>
      <c r="F26" s="19" t="s">
        <v>39</v>
      </c>
      <c r="G26" s="28" t="s">
        <v>60</v>
      </c>
      <c r="H26" s="29">
        <v>24</v>
      </c>
      <c r="I26" s="30">
        <f t="shared" si="0"/>
        <v>1898.6</v>
      </c>
      <c r="J26" s="19"/>
      <c r="K26" s="28"/>
    </row>
    <row r="27" spans="3:11" x14ac:dyDescent="0.2">
      <c r="C27" s="32">
        <v>46142</v>
      </c>
      <c r="D27" s="14" t="s">
        <v>35</v>
      </c>
      <c r="E27" s="14" t="s">
        <v>17</v>
      </c>
      <c r="F27" s="14" t="s">
        <v>61</v>
      </c>
      <c r="G27" s="33" t="s">
        <v>62</v>
      </c>
      <c r="H27" s="29">
        <v>30</v>
      </c>
      <c r="I27" s="34">
        <f t="shared" si="0"/>
        <v>1868.6</v>
      </c>
      <c r="J27" s="14"/>
      <c r="K27" s="33"/>
    </row>
    <row r="28" spans="3:11" x14ac:dyDescent="0.2">
      <c r="C28" s="27">
        <v>46143</v>
      </c>
      <c r="D28" s="19" t="s">
        <v>35</v>
      </c>
      <c r="E28" s="19" t="s">
        <v>13</v>
      </c>
      <c r="F28" s="19" t="s">
        <v>63</v>
      </c>
      <c r="G28" s="28" t="s">
        <v>64</v>
      </c>
      <c r="H28" s="29">
        <v>35.5</v>
      </c>
      <c r="I28" s="30">
        <f t="shared" si="0"/>
        <v>1833.1</v>
      </c>
      <c r="J28" s="19"/>
      <c r="K28" s="28"/>
    </row>
    <row r="29" spans="3:11" x14ac:dyDescent="0.2">
      <c r="C29" s="32">
        <v>46143</v>
      </c>
      <c r="D29" s="14" t="s">
        <v>35</v>
      </c>
      <c r="E29" s="14" t="s">
        <v>26</v>
      </c>
      <c r="F29" s="14" t="s">
        <v>26</v>
      </c>
      <c r="G29" s="33" t="s">
        <v>65</v>
      </c>
      <c r="H29" s="29">
        <v>67</v>
      </c>
      <c r="I29" s="34">
        <f t="shared" si="0"/>
        <v>1766.1</v>
      </c>
      <c r="J29" s="14"/>
      <c r="K29" s="33"/>
    </row>
    <row r="30" spans="3:11" x14ac:dyDescent="0.2">
      <c r="C30" s="27">
        <v>46143</v>
      </c>
      <c r="D30" s="19" t="s">
        <v>35</v>
      </c>
      <c r="E30" s="19" t="s">
        <v>18</v>
      </c>
      <c r="F30" s="19" t="s">
        <v>66</v>
      </c>
      <c r="G30" s="28" t="s">
        <v>67</v>
      </c>
      <c r="H30" s="29">
        <v>300</v>
      </c>
      <c r="I30" s="30">
        <f t="shared" si="0"/>
        <v>1466.1</v>
      </c>
      <c r="J30" s="19"/>
      <c r="K30" s="28"/>
    </row>
    <row r="31" spans="3:11" x14ac:dyDescent="0.2">
      <c r="C31" s="32">
        <v>46143</v>
      </c>
      <c r="D31" s="14" t="s">
        <v>35</v>
      </c>
      <c r="E31" s="14" t="s">
        <v>17</v>
      </c>
      <c r="F31" s="14" t="s">
        <v>68</v>
      </c>
      <c r="G31" s="33" t="s">
        <v>68</v>
      </c>
      <c r="H31" s="29">
        <v>120</v>
      </c>
      <c r="I31" s="34">
        <f t="shared" si="0"/>
        <v>1346.1</v>
      </c>
      <c r="J31" s="14"/>
      <c r="K31" s="33"/>
    </row>
    <row r="32" spans="3:11" x14ac:dyDescent="0.2">
      <c r="C32" s="27">
        <v>46144</v>
      </c>
      <c r="D32" s="19" t="s">
        <v>35</v>
      </c>
      <c r="E32" s="19" t="s">
        <v>11</v>
      </c>
      <c r="F32" s="19" t="s">
        <v>69</v>
      </c>
      <c r="G32" s="28" t="s">
        <v>70</v>
      </c>
      <c r="H32" s="29">
        <v>70.400000000000006</v>
      </c>
      <c r="I32" s="30">
        <f t="shared" si="0"/>
        <v>1275.6999999999998</v>
      </c>
      <c r="J32" s="19"/>
      <c r="K32" s="28"/>
    </row>
    <row r="33" spans="3:11" x14ac:dyDescent="0.2">
      <c r="C33" s="32">
        <v>46144</v>
      </c>
      <c r="D33" s="14" t="s">
        <v>35</v>
      </c>
      <c r="E33" s="14" t="s">
        <v>20</v>
      </c>
      <c r="F33" s="14" t="s">
        <v>71</v>
      </c>
      <c r="G33" s="33" t="s">
        <v>72</v>
      </c>
      <c r="H33" s="29">
        <v>16</v>
      </c>
      <c r="I33" s="34">
        <f t="shared" si="0"/>
        <v>1259.6999999999998</v>
      </c>
      <c r="J33" s="14"/>
      <c r="K33" s="33"/>
    </row>
    <row r="34" spans="3:11" x14ac:dyDescent="0.2">
      <c r="C34" s="27">
        <v>46144</v>
      </c>
      <c r="D34" s="19" t="s">
        <v>35</v>
      </c>
      <c r="E34" s="19" t="s">
        <v>11</v>
      </c>
      <c r="F34" s="19" t="s">
        <v>51</v>
      </c>
      <c r="G34" s="28" t="s">
        <v>51</v>
      </c>
      <c r="H34" s="29">
        <v>38.6</v>
      </c>
      <c r="I34" s="30">
        <f t="shared" si="0"/>
        <v>1221.0999999999999</v>
      </c>
      <c r="J34" s="19"/>
      <c r="K34" s="28"/>
    </row>
    <row r="35" spans="3:11" x14ac:dyDescent="0.2">
      <c r="C35" s="32">
        <v>46144</v>
      </c>
      <c r="D35" s="14" t="s">
        <v>35</v>
      </c>
      <c r="E35" s="14" t="s">
        <v>11</v>
      </c>
      <c r="F35" s="14" t="s">
        <v>69</v>
      </c>
      <c r="G35" s="33" t="s">
        <v>73</v>
      </c>
      <c r="H35" s="29">
        <v>4</v>
      </c>
      <c r="I35" s="34">
        <f t="shared" si="0"/>
        <v>1217.0999999999999</v>
      </c>
      <c r="J35" s="14"/>
      <c r="K35" s="33"/>
    </row>
    <row r="36" spans="3:11" ht="14.25" x14ac:dyDescent="0.2">
      <c r="C36" s="35"/>
      <c r="D36" s="31"/>
      <c r="E36" s="31"/>
      <c r="G36" s="36"/>
      <c r="H36" s="37">
        <f t="shared" ref="H36:H99" si="2">H35-G36</f>
        <v>4</v>
      </c>
      <c r="I36" s="38" t="str">
        <f t="shared" si="0"/>
        <v/>
      </c>
      <c r="K36" s="36"/>
    </row>
    <row r="37" spans="3:11" ht="14.25" x14ac:dyDescent="0.2">
      <c r="C37" s="35"/>
      <c r="D37" s="31"/>
      <c r="E37" s="31"/>
      <c r="G37" s="36"/>
      <c r="H37" s="37">
        <f t="shared" si="2"/>
        <v>4</v>
      </c>
      <c r="I37" s="38" t="str">
        <f t="shared" si="0"/>
        <v/>
      </c>
      <c r="K37" s="36"/>
    </row>
    <row r="38" spans="3:11" ht="14.25" x14ac:dyDescent="0.2">
      <c r="C38" s="35"/>
      <c r="D38" s="31"/>
      <c r="E38" s="31"/>
      <c r="G38" s="36"/>
      <c r="H38" s="37">
        <f t="shared" si="2"/>
        <v>4</v>
      </c>
      <c r="I38" s="38" t="str">
        <f t="shared" si="0"/>
        <v/>
      </c>
      <c r="K38" s="36"/>
    </row>
    <row r="39" spans="3:11" ht="14.25" x14ac:dyDescent="0.2">
      <c r="C39" s="35"/>
      <c r="D39" s="31"/>
      <c r="E39" s="31"/>
      <c r="G39" s="36"/>
      <c r="H39" s="37">
        <f t="shared" si="2"/>
        <v>4</v>
      </c>
      <c r="I39" s="38" t="str">
        <f t="shared" si="0"/>
        <v/>
      </c>
      <c r="K39" s="36"/>
    </row>
    <row r="40" spans="3:11" ht="14.25" x14ac:dyDescent="0.2">
      <c r="C40" s="35"/>
      <c r="D40" s="31"/>
      <c r="E40" s="31"/>
      <c r="G40" s="36"/>
      <c r="H40" s="37">
        <f t="shared" si="2"/>
        <v>4</v>
      </c>
      <c r="I40" s="38" t="str">
        <f t="shared" si="0"/>
        <v/>
      </c>
      <c r="K40" s="36"/>
    </row>
    <row r="41" spans="3:11" ht="14.25" x14ac:dyDescent="0.2">
      <c r="C41" s="35"/>
      <c r="D41" s="31"/>
      <c r="E41" s="31"/>
      <c r="G41" s="36"/>
      <c r="H41" s="37">
        <f t="shared" si="2"/>
        <v>4</v>
      </c>
      <c r="I41" s="38" t="str">
        <f t="shared" si="0"/>
        <v/>
      </c>
      <c r="K41" s="36"/>
    </row>
    <row r="42" spans="3:11" ht="14.25" x14ac:dyDescent="0.2">
      <c r="C42" s="35"/>
      <c r="D42" s="31"/>
      <c r="E42" s="31"/>
      <c r="G42" s="36"/>
      <c r="H42" s="37">
        <f t="shared" si="2"/>
        <v>4</v>
      </c>
      <c r="I42" s="38" t="str">
        <f t="shared" si="0"/>
        <v/>
      </c>
      <c r="K42" s="36"/>
    </row>
    <row r="43" spans="3:11" ht="14.25" x14ac:dyDescent="0.2">
      <c r="C43" s="35"/>
      <c r="D43" s="31"/>
      <c r="E43" s="31"/>
      <c r="G43" s="36"/>
      <c r="H43" s="37">
        <f t="shared" si="2"/>
        <v>4</v>
      </c>
      <c r="I43" s="38" t="str">
        <f t="shared" si="0"/>
        <v/>
      </c>
      <c r="K43" s="36"/>
    </row>
    <row r="44" spans="3:11" ht="14.25" x14ac:dyDescent="0.2">
      <c r="C44" s="35"/>
      <c r="D44" s="31"/>
      <c r="E44" s="31"/>
      <c r="G44" s="36"/>
      <c r="H44" s="37">
        <f t="shared" si="2"/>
        <v>4</v>
      </c>
      <c r="I44" s="38" t="str">
        <f t="shared" si="0"/>
        <v/>
      </c>
      <c r="K44" s="36"/>
    </row>
    <row r="45" spans="3:11" ht="14.25" x14ac:dyDescent="0.2">
      <c r="C45" s="35"/>
      <c r="D45" s="31"/>
      <c r="E45" s="31"/>
      <c r="G45" s="36"/>
      <c r="H45" s="37">
        <f t="shared" si="2"/>
        <v>4</v>
      </c>
      <c r="I45" s="38" t="str">
        <f t="shared" si="0"/>
        <v/>
      </c>
      <c r="K45" s="36"/>
    </row>
    <row r="46" spans="3:11" ht="14.25" x14ac:dyDescent="0.2">
      <c r="C46" s="35"/>
      <c r="D46" s="31"/>
      <c r="E46" s="31"/>
      <c r="G46" s="36"/>
      <c r="H46" s="37">
        <f t="shared" si="2"/>
        <v>4</v>
      </c>
      <c r="I46" s="38" t="str">
        <f t="shared" si="0"/>
        <v/>
      </c>
      <c r="K46" s="36"/>
    </row>
    <row r="47" spans="3:11" ht="14.25" x14ac:dyDescent="0.2">
      <c r="C47" s="35"/>
      <c r="D47" s="31"/>
      <c r="E47" s="31"/>
      <c r="G47" s="36"/>
      <c r="H47" s="37">
        <f t="shared" si="2"/>
        <v>4</v>
      </c>
      <c r="I47" s="38" t="str">
        <f t="shared" si="0"/>
        <v/>
      </c>
      <c r="K47" s="36"/>
    </row>
    <row r="48" spans="3:11" ht="14.25" x14ac:dyDescent="0.2">
      <c r="C48" s="35"/>
      <c r="D48" s="31"/>
      <c r="E48" s="31"/>
      <c r="G48" s="36"/>
      <c r="H48" s="37">
        <f t="shared" si="2"/>
        <v>4</v>
      </c>
      <c r="I48" s="38" t="str">
        <f t="shared" si="0"/>
        <v/>
      </c>
      <c r="K48" s="36"/>
    </row>
    <row r="49" spans="3:11" ht="14.25" x14ac:dyDescent="0.2">
      <c r="C49" s="35"/>
      <c r="D49" s="31"/>
      <c r="E49" s="31"/>
      <c r="G49" s="36"/>
      <c r="H49" s="37">
        <f t="shared" si="2"/>
        <v>4</v>
      </c>
      <c r="I49" s="38" t="str">
        <f t="shared" si="0"/>
        <v/>
      </c>
      <c r="K49" s="36"/>
    </row>
    <row r="50" spans="3:11" ht="14.25" x14ac:dyDescent="0.2">
      <c r="C50" s="35"/>
      <c r="D50" s="31"/>
      <c r="E50" s="31"/>
      <c r="G50" s="36"/>
      <c r="H50" s="37">
        <f t="shared" si="2"/>
        <v>4</v>
      </c>
      <c r="I50" s="38" t="str">
        <f t="shared" si="0"/>
        <v/>
      </c>
      <c r="K50" s="36"/>
    </row>
    <row r="51" spans="3:11" ht="14.25" x14ac:dyDescent="0.2">
      <c r="C51" s="35"/>
      <c r="D51" s="31"/>
      <c r="E51" s="31"/>
      <c r="G51" s="36"/>
      <c r="H51" s="37">
        <f t="shared" si="2"/>
        <v>4</v>
      </c>
      <c r="I51" s="38" t="str">
        <f t="shared" si="0"/>
        <v/>
      </c>
      <c r="K51" s="36"/>
    </row>
    <row r="52" spans="3:11" ht="14.25" x14ac:dyDescent="0.2">
      <c r="C52" s="35"/>
      <c r="D52" s="31"/>
      <c r="E52" s="31"/>
      <c r="G52" s="36"/>
      <c r="H52" s="37">
        <f t="shared" si="2"/>
        <v>4</v>
      </c>
      <c r="I52" s="38" t="str">
        <f t="shared" si="0"/>
        <v/>
      </c>
      <c r="K52" s="36"/>
    </row>
    <row r="53" spans="3:11" ht="14.25" x14ac:dyDescent="0.2">
      <c r="C53" s="35"/>
      <c r="D53" s="31"/>
      <c r="E53" s="31"/>
      <c r="G53" s="36"/>
      <c r="H53" s="37">
        <f t="shared" si="2"/>
        <v>4</v>
      </c>
      <c r="I53" s="38" t="str">
        <f t="shared" si="0"/>
        <v/>
      </c>
      <c r="K53" s="36"/>
    </row>
    <row r="54" spans="3:11" ht="14.25" x14ac:dyDescent="0.2">
      <c r="C54" s="35"/>
      <c r="D54" s="31"/>
      <c r="E54" s="31"/>
      <c r="G54" s="36"/>
      <c r="H54" s="37">
        <f t="shared" si="2"/>
        <v>4</v>
      </c>
      <c r="I54" s="38" t="str">
        <f t="shared" si="0"/>
        <v/>
      </c>
      <c r="K54" s="36"/>
    </row>
    <row r="55" spans="3:11" ht="14.25" x14ac:dyDescent="0.2">
      <c r="C55" s="35"/>
      <c r="D55" s="31"/>
      <c r="E55" s="31"/>
      <c r="G55" s="36"/>
      <c r="H55" s="37">
        <f t="shared" si="2"/>
        <v>4</v>
      </c>
      <c r="I55" s="38" t="str">
        <f t="shared" si="0"/>
        <v/>
      </c>
      <c r="K55" s="36"/>
    </row>
    <row r="56" spans="3:11" ht="14.25" x14ac:dyDescent="0.2">
      <c r="C56" s="35"/>
      <c r="D56" s="31"/>
      <c r="E56" s="31"/>
      <c r="G56" s="36"/>
      <c r="H56" s="37">
        <f t="shared" si="2"/>
        <v>4</v>
      </c>
      <c r="I56" s="38" t="str">
        <f t="shared" si="0"/>
        <v/>
      </c>
      <c r="K56" s="36"/>
    </row>
    <row r="57" spans="3:11" ht="14.25" x14ac:dyDescent="0.2">
      <c r="C57" s="35"/>
      <c r="D57" s="31"/>
      <c r="E57" s="31"/>
      <c r="G57" s="36"/>
      <c r="H57" s="37">
        <f t="shared" si="2"/>
        <v>4</v>
      </c>
      <c r="I57" s="38" t="str">
        <f t="shared" si="0"/>
        <v/>
      </c>
      <c r="K57" s="36"/>
    </row>
    <row r="58" spans="3:11" ht="14.25" x14ac:dyDescent="0.2">
      <c r="C58" s="35"/>
      <c r="D58" s="31"/>
      <c r="E58" s="31"/>
      <c r="G58" s="36"/>
      <c r="H58" s="37">
        <f t="shared" si="2"/>
        <v>4</v>
      </c>
      <c r="I58" s="38" t="str">
        <f t="shared" si="0"/>
        <v/>
      </c>
      <c r="K58" s="36"/>
    </row>
    <row r="59" spans="3:11" ht="14.25" x14ac:dyDescent="0.2">
      <c r="C59" s="35"/>
      <c r="D59" s="31"/>
      <c r="E59" s="31"/>
      <c r="G59" s="36"/>
      <c r="H59" s="37">
        <f t="shared" si="2"/>
        <v>4</v>
      </c>
      <c r="I59" s="38" t="str">
        <f t="shared" si="0"/>
        <v/>
      </c>
      <c r="K59" s="36"/>
    </row>
    <row r="60" spans="3:11" ht="14.25" x14ac:dyDescent="0.2">
      <c r="C60" s="35"/>
      <c r="D60" s="31"/>
      <c r="E60" s="31"/>
      <c r="G60" s="36"/>
      <c r="H60" s="37">
        <f t="shared" si="2"/>
        <v>4</v>
      </c>
      <c r="I60" s="38" t="str">
        <f t="shared" si="0"/>
        <v/>
      </c>
      <c r="K60" s="36"/>
    </row>
    <row r="61" spans="3:11" ht="14.25" x14ac:dyDescent="0.2">
      <c r="C61" s="35"/>
      <c r="D61" s="31"/>
      <c r="E61" s="31"/>
      <c r="G61" s="36"/>
      <c r="H61" s="37">
        <f t="shared" si="2"/>
        <v>4</v>
      </c>
      <c r="I61" s="38" t="str">
        <f t="shared" si="0"/>
        <v/>
      </c>
      <c r="K61" s="36"/>
    </row>
    <row r="62" spans="3:11" ht="14.25" x14ac:dyDescent="0.2">
      <c r="C62" s="35"/>
      <c r="D62" s="31"/>
      <c r="E62" s="31"/>
      <c r="G62" s="36"/>
      <c r="H62" s="37">
        <f t="shared" si="2"/>
        <v>4</v>
      </c>
      <c r="I62" s="38" t="str">
        <f t="shared" si="0"/>
        <v/>
      </c>
      <c r="K62" s="36"/>
    </row>
    <row r="63" spans="3:11" ht="14.25" x14ac:dyDescent="0.2">
      <c r="C63" s="35"/>
      <c r="D63" s="31"/>
      <c r="E63" s="31"/>
      <c r="G63" s="36"/>
      <c r="H63" s="37">
        <f t="shared" si="2"/>
        <v>4</v>
      </c>
      <c r="I63" s="38" t="str">
        <f t="shared" si="0"/>
        <v/>
      </c>
      <c r="K63" s="36"/>
    </row>
    <row r="64" spans="3:11" ht="14.25" x14ac:dyDescent="0.2">
      <c r="C64" s="35"/>
      <c r="D64" s="31"/>
      <c r="E64" s="31"/>
      <c r="G64" s="36"/>
      <c r="H64" s="37">
        <f t="shared" si="2"/>
        <v>4</v>
      </c>
      <c r="I64" s="38" t="str">
        <f t="shared" si="0"/>
        <v/>
      </c>
      <c r="K64" s="36"/>
    </row>
    <row r="65" spans="3:11" ht="14.25" x14ac:dyDescent="0.2">
      <c r="C65" s="35"/>
      <c r="D65" s="31"/>
      <c r="E65" s="31"/>
      <c r="G65" s="36"/>
      <c r="H65" s="37">
        <f t="shared" si="2"/>
        <v>4</v>
      </c>
      <c r="I65" s="38" t="str">
        <f t="shared" si="0"/>
        <v/>
      </c>
      <c r="K65" s="36"/>
    </row>
    <row r="66" spans="3:11" ht="14.25" x14ac:dyDescent="0.2">
      <c r="C66" s="35"/>
      <c r="D66" s="31"/>
      <c r="E66" s="31"/>
      <c r="G66" s="36"/>
      <c r="H66" s="37">
        <f t="shared" si="2"/>
        <v>4</v>
      </c>
      <c r="I66" s="38" t="str">
        <f t="shared" si="0"/>
        <v/>
      </c>
      <c r="K66" s="36"/>
    </row>
    <row r="67" spans="3:11" ht="14.25" x14ac:dyDescent="0.2">
      <c r="C67" s="35"/>
      <c r="D67" s="31"/>
      <c r="E67" s="31"/>
      <c r="G67" s="36"/>
      <c r="H67" s="37">
        <f t="shared" si="2"/>
        <v>4</v>
      </c>
      <c r="I67" s="38" t="str">
        <f t="shared" si="0"/>
        <v/>
      </c>
      <c r="K67" s="36"/>
    </row>
    <row r="68" spans="3:11" ht="14.25" x14ac:dyDescent="0.2">
      <c r="C68" s="35"/>
      <c r="D68" s="31"/>
      <c r="E68" s="31"/>
      <c r="G68" s="36"/>
      <c r="H68" s="37">
        <f t="shared" si="2"/>
        <v>4</v>
      </c>
      <c r="I68" s="38" t="str">
        <f t="shared" si="0"/>
        <v/>
      </c>
      <c r="K68" s="36"/>
    </row>
    <row r="69" spans="3:11" ht="14.25" x14ac:dyDescent="0.2">
      <c r="C69" s="35"/>
      <c r="D69" s="31"/>
      <c r="E69" s="31"/>
      <c r="G69" s="36"/>
      <c r="H69" s="37">
        <f t="shared" si="2"/>
        <v>4</v>
      </c>
      <c r="I69" s="38" t="str">
        <f t="shared" si="0"/>
        <v/>
      </c>
      <c r="K69" s="36"/>
    </row>
    <row r="70" spans="3:11" ht="14.25" x14ac:dyDescent="0.2">
      <c r="C70" s="35"/>
      <c r="D70" s="31"/>
      <c r="E70" s="31"/>
      <c r="G70" s="36"/>
      <c r="H70" s="37">
        <f t="shared" si="2"/>
        <v>4</v>
      </c>
      <c r="I70" s="38" t="str">
        <f t="shared" si="0"/>
        <v/>
      </c>
      <c r="K70" s="36"/>
    </row>
    <row r="71" spans="3:11" ht="14.25" x14ac:dyDescent="0.2">
      <c r="C71" s="35"/>
      <c r="D71" s="31"/>
      <c r="E71" s="31"/>
      <c r="G71" s="36"/>
      <c r="H71" s="37">
        <f t="shared" si="2"/>
        <v>4</v>
      </c>
      <c r="I71" s="38" t="str">
        <f t="shared" ref="I71:I134" si="3">IF(C71="","",I70+IF(D71="Ingreso",H71,-H71))</f>
        <v/>
      </c>
      <c r="K71" s="36"/>
    </row>
    <row r="72" spans="3:11" ht="14.25" x14ac:dyDescent="0.2">
      <c r="C72" s="35"/>
      <c r="D72" s="31"/>
      <c r="E72" s="31"/>
      <c r="G72" s="36"/>
      <c r="H72" s="37">
        <f t="shared" si="2"/>
        <v>4</v>
      </c>
      <c r="I72" s="38" t="str">
        <f t="shared" si="3"/>
        <v/>
      </c>
      <c r="K72" s="36"/>
    </row>
    <row r="73" spans="3:11" ht="14.25" x14ac:dyDescent="0.2">
      <c r="C73" s="35"/>
      <c r="D73" s="31"/>
      <c r="E73" s="31"/>
      <c r="G73" s="36"/>
      <c r="H73" s="37">
        <f t="shared" si="2"/>
        <v>4</v>
      </c>
      <c r="I73" s="38" t="str">
        <f t="shared" si="3"/>
        <v/>
      </c>
      <c r="K73" s="36"/>
    </row>
    <row r="74" spans="3:11" ht="14.25" x14ac:dyDescent="0.2">
      <c r="C74" s="35"/>
      <c r="D74" s="31"/>
      <c r="E74" s="31"/>
      <c r="G74" s="36"/>
      <c r="H74" s="37">
        <f t="shared" si="2"/>
        <v>4</v>
      </c>
      <c r="I74" s="38" t="str">
        <f t="shared" si="3"/>
        <v/>
      </c>
      <c r="K74" s="36"/>
    </row>
    <row r="75" spans="3:11" ht="14.25" x14ac:dyDescent="0.2">
      <c r="C75" s="35"/>
      <c r="D75" s="31"/>
      <c r="E75" s="31"/>
      <c r="G75" s="36"/>
      <c r="H75" s="37">
        <f t="shared" si="2"/>
        <v>4</v>
      </c>
      <c r="I75" s="38" t="str">
        <f t="shared" si="3"/>
        <v/>
      </c>
      <c r="K75" s="36"/>
    </row>
    <row r="76" spans="3:11" ht="14.25" x14ac:dyDescent="0.2">
      <c r="C76" s="35"/>
      <c r="D76" s="31"/>
      <c r="E76" s="31"/>
      <c r="G76" s="36"/>
      <c r="H76" s="37">
        <f t="shared" si="2"/>
        <v>4</v>
      </c>
      <c r="I76" s="38" t="str">
        <f t="shared" si="3"/>
        <v/>
      </c>
      <c r="K76" s="36"/>
    </row>
    <row r="77" spans="3:11" ht="14.25" x14ac:dyDescent="0.2">
      <c r="C77" s="35"/>
      <c r="D77" s="31"/>
      <c r="E77" s="31"/>
      <c r="G77" s="36"/>
      <c r="H77" s="37">
        <f t="shared" si="2"/>
        <v>4</v>
      </c>
      <c r="I77" s="38" t="str">
        <f t="shared" si="3"/>
        <v/>
      </c>
      <c r="K77" s="36"/>
    </row>
    <row r="78" spans="3:11" ht="14.25" x14ac:dyDescent="0.2">
      <c r="C78" s="35"/>
      <c r="D78" s="31"/>
      <c r="E78" s="31"/>
      <c r="G78" s="36"/>
      <c r="H78" s="37">
        <f t="shared" si="2"/>
        <v>4</v>
      </c>
      <c r="I78" s="38" t="str">
        <f t="shared" si="3"/>
        <v/>
      </c>
      <c r="K78" s="36"/>
    </row>
    <row r="79" spans="3:11" ht="14.25" x14ac:dyDescent="0.2">
      <c r="C79" s="35"/>
      <c r="D79" s="31"/>
      <c r="E79" s="31"/>
      <c r="G79" s="36"/>
      <c r="H79" s="37">
        <f t="shared" si="2"/>
        <v>4</v>
      </c>
      <c r="I79" s="38" t="str">
        <f t="shared" si="3"/>
        <v/>
      </c>
      <c r="K79" s="36"/>
    </row>
    <row r="80" spans="3:11" ht="14.25" x14ac:dyDescent="0.2">
      <c r="C80" s="35"/>
      <c r="D80" s="31"/>
      <c r="E80" s="31"/>
      <c r="G80" s="36"/>
      <c r="H80" s="37">
        <f t="shared" si="2"/>
        <v>4</v>
      </c>
      <c r="I80" s="38" t="str">
        <f t="shared" si="3"/>
        <v/>
      </c>
      <c r="K80" s="36"/>
    </row>
    <row r="81" spans="3:11" ht="14.25" x14ac:dyDescent="0.2">
      <c r="C81" s="35"/>
      <c r="D81" s="31"/>
      <c r="E81" s="31"/>
      <c r="G81" s="36"/>
      <c r="H81" s="37">
        <f t="shared" si="2"/>
        <v>4</v>
      </c>
      <c r="I81" s="38" t="str">
        <f t="shared" si="3"/>
        <v/>
      </c>
      <c r="K81" s="36"/>
    </row>
    <row r="82" spans="3:11" ht="14.25" x14ac:dyDescent="0.2">
      <c r="C82" s="35"/>
      <c r="D82" s="31"/>
      <c r="E82" s="31"/>
      <c r="G82" s="36"/>
      <c r="H82" s="37">
        <f t="shared" si="2"/>
        <v>4</v>
      </c>
      <c r="I82" s="38" t="str">
        <f t="shared" si="3"/>
        <v/>
      </c>
      <c r="K82" s="36"/>
    </row>
    <row r="83" spans="3:11" ht="14.25" x14ac:dyDescent="0.2">
      <c r="C83" s="35"/>
      <c r="D83" s="31"/>
      <c r="E83" s="31"/>
      <c r="G83" s="36"/>
      <c r="H83" s="37">
        <f t="shared" si="2"/>
        <v>4</v>
      </c>
      <c r="I83" s="38" t="str">
        <f t="shared" si="3"/>
        <v/>
      </c>
      <c r="K83" s="36"/>
    </row>
    <row r="84" spans="3:11" ht="14.25" x14ac:dyDescent="0.2">
      <c r="C84" s="35"/>
      <c r="D84" s="31"/>
      <c r="E84" s="31"/>
      <c r="G84" s="36"/>
      <c r="H84" s="37">
        <f t="shared" si="2"/>
        <v>4</v>
      </c>
      <c r="I84" s="38" t="str">
        <f t="shared" si="3"/>
        <v/>
      </c>
      <c r="K84" s="36"/>
    </row>
    <row r="85" spans="3:11" ht="14.25" x14ac:dyDescent="0.2">
      <c r="C85" s="35"/>
      <c r="D85" s="31"/>
      <c r="E85" s="31"/>
      <c r="G85" s="36"/>
      <c r="H85" s="37">
        <f t="shared" si="2"/>
        <v>4</v>
      </c>
      <c r="I85" s="38" t="str">
        <f t="shared" si="3"/>
        <v/>
      </c>
      <c r="K85" s="36"/>
    </row>
    <row r="86" spans="3:11" ht="14.25" x14ac:dyDescent="0.2">
      <c r="C86" s="35"/>
      <c r="D86" s="31"/>
      <c r="E86" s="31"/>
      <c r="G86" s="36"/>
      <c r="H86" s="37">
        <f t="shared" si="2"/>
        <v>4</v>
      </c>
      <c r="I86" s="38" t="str">
        <f t="shared" si="3"/>
        <v/>
      </c>
      <c r="K86" s="36"/>
    </row>
    <row r="87" spans="3:11" ht="14.25" x14ac:dyDescent="0.2">
      <c r="C87" s="35"/>
      <c r="D87" s="31"/>
      <c r="E87" s="31"/>
      <c r="G87" s="36"/>
      <c r="H87" s="37">
        <f t="shared" si="2"/>
        <v>4</v>
      </c>
      <c r="I87" s="38" t="str">
        <f t="shared" si="3"/>
        <v/>
      </c>
      <c r="K87" s="36"/>
    </row>
    <row r="88" spans="3:11" ht="14.25" x14ac:dyDescent="0.2">
      <c r="C88" s="35"/>
      <c r="D88" s="31"/>
      <c r="E88" s="31"/>
      <c r="G88" s="36"/>
      <c r="H88" s="37">
        <f t="shared" si="2"/>
        <v>4</v>
      </c>
      <c r="I88" s="38" t="str">
        <f t="shared" si="3"/>
        <v/>
      </c>
      <c r="K88" s="36"/>
    </row>
    <row r="89" spans="3:11" ht="14.25" x14ac:dyDescent="0.2">
      <c r="C89" s="35"/>
      <c r="D89" s="31"/>
      <c r="E89" s="31"/>
      <c r="G89" s="36"/>
      <c r="H89" s="37">
        <f t="shared" si="2"/>
        <v>4</v>
      </c>
      <c r="I89" s="38" t="str">
        <f t="shared" si="3"/>
        <v/>
      </c>
      <c r="K89" s="36"/>
    </row>
    <row r="90" spans="3:11" ht="14.25" x14ac:dyDescent="0.2">
      <c r="C90" s="35"/>
      <c r="D90" s="31"/>
      <c r="E90" s="31"/>
      <c r="G90" s="36"/>
      <c r="H90" s="37">
        <f t="shared" si="2"/>
        <v>4</v>
      </c>
      <c r="I90" s="38" t="str">
        <f t="shared" si="3"/>
        <v/>
      </c>
      <c r="K90" s="36"/>
    </row>
    <row r="91" spans="3:11" ht="14.25" x14ac:dyDescent="0.2">
      <c r="C91" s="35"/>
      <c r="D91" s="31"/>
      <c r="E91" s="31"/>
      <c r="G91" s="36"/>
      <c r="H91" s="37">
        <f t="shared" si="2"/>
        <v>4</v>
      </c>
      <c r="I91" s="38" t="str">
        <f t="shared" si="3"/>
        <v/>
      </c>
      <c r="K91" s="36"/>
    </row>
    <row r="92" spans="3:11" ht="14.25" x14ac:dyDescent="0.2">
      <c r="C92" s="35"/>
      <c r="D92" s="31"/>
      <c r="E92" s="31"/>
      <c r="G92" s="36"/>
      <c r="H92" s="37">
        <f t="shared" si="2"/>
        <v>4</v>
      </c>
      <c r="I92" s="38" t="str">
        <f t="shared" si="3"/>
        <v/>
      </c>
      <c r="K92" s="36"/>
    </row>
    <row r="93" spans="3:11" ht="14.25" x14ac:dyDescent="0.2">
      <c r="C93" s="35"/>
      <c r="D93" s="31"/>
      <c r="E93" s="31"/>
      <c r="G93" s="36"/>
      <c r="H93" s="37">
        <f t="shared" si="2"/>
        <v>4</v>
      </c>
      <c r="I93" s="38" t="str">
        <f t="shared" si="3"/>
        <v/>
      </c>
      <c r="K93" s="36"/>
    </row>
    <row r="94" spans="3:11" ht="14.25" x14ac:dyDescent="0.2">
      <c r="C94" s="35"/>
      <c r="D94" s="31"/>
      <c r="E94" s="31"/>
      <c r="G94" s="36"/>
      <c r="H94" s="37">
        <f t="shared" si="2"/>
        <v>4</v>
      </c>
      <c r="I94" s="38" t="str">
        <f t="shared" si="3"/>
        <v/>
      </c>
      <c r="K94" s="36"/>
    </row>
    <row r="95" spans="3:11" ht="14.25" x14ac:dyDescent="0.2">
      <c r="C95" s="35"/>
      <c r="D95" s="31"/>
      <c r="E95" s="31"/>
      <c r="G95" s="36"/>
      <c r="H95" s="37">
        <f t="shared" si="2"/>
        <v>4</v>
      </c>
      <c r="I95" s="38" t="str">
        <f t="shared" si="3"/>
        <v/>
      </c>
      <c r="K95" s="36"/>
    </row>
    <row r="96" spans="3:11" ht="14.25" x14ac:dyDescent="0.2">
      <c r="C96" s="35"/>
      <c r="D96" s="31"/>
      <c r="E96" s="31"/>
      <c r="G96" s="36"/>
      <c r="H96" s="37">
        <f t="shared" si="2"/>
        <v>4</v>
      </c>
      <c r="I96" s="38" t="str">
        <f t="shared" si="3"/>
        <v/>
      </c>
      <c r="K96" s="36"/>
    </row>
    <row r="97" spans="3:11" ht="14.25" x14ac:dyDescent="0.2">
      <c r="C97" s="35"/>
      <c r="D97" s="31"/>
      <c r="E97" s="31"/>
      <c r="G97" s="36"/>
      <c r="H97" s="37">
        <f t="shared" si="2"/>
        <v>4</v>
      </c>
      <c r="I97" s="38" t="str">
        <f t="shared" si="3"/>
        <v/>
      </c>
      <c r="K97" s="36"/>
    </row>
    <row r="98" spans="3:11" ht="14.25" x14ac:dyDescent="0.2">
      <c r="C98" s="35"/>
      <c r="D98" s="31"/>
      <c r="E98" s="31"/>
      <c r="G98" s="36"/>
      <c r="H98" s="37">
        <f t="shared" si="2"/>
        <v>4</v>
      </c>
      <c r="I98" s="38" t="str">
        <f t="shared" si="3"/>
        <v/>
      </c>
      <c r="K98" s="36"/>
    </row>
    <row r="99" spans="3:11" ht="14.25" x14ac:dyDescent="0.2">
      <c r="C99" s="35"/>
      <c r="D99" s="31"/>
      <c r="E99" s="31"/>
      <c r="G99" s="36"/>
      <c r="H99" s="37">
        <f t="shared" si="2"/>
        <v>4</v>
      </c>
      <c r="I99" s="38" t="str">
        <f t="shared" si="3"/>
        <v/>
      </c>
      <c r="K99" s="36"/>
    </row>
    <row r="100" spans="3:11" ht="14.25" x14ac:dyDescent="0.2">
      <c r="C100" s="35"/>
      <c r="D100" s="31"/>
      <c r="E100" s="31"/>
      <c r="G100" s="36"/>
      <c r="H100" s="37">
        <f t="shared" ref="H100:H163" si="4">H99-G100</f>
        <v>4</v>
      </c>
      <c r="I100" s="38" t="str">
        <f t="shared" si="3"/>
        <v/>
      </c>
      <c r="K100" s="36"/>
    </row>
    <row r="101" spans="3:11" ht="14.25" x14ac:dyDescent="0.2">
      <c r="C101" s="35"/>
      <c r="D101" s="31"/>
      <c r="E101" s="31"/>
      <c r="G101" s="36"/>
      <c r="H101" s="37">
        <f t="shared" si="4"/>
        <v>4</v>
      </c>
      <c r="I101" s="38" t="str">
        <f t="shared" si="3"/>
        <v/>
      </c>
      <c r="K101" s="36"/>
    </row>
    <row r="102" spans="3:11" ht="14.25" x14ac:dyDescent="0.2">
      <c r="C102" s="35"/>
      <c r="D102" s="31"/>
      <c r="E102" s="31"/>
      <c r="G102" s="36"/>
      <c r="H102" s="37">
        <f t="shared" si="4"/>
        <v>4</v>
      </c>
      <c r="I102" s="38" t="str">
        <f t="shared" si="3"/>
        <v/>
      </c>
      <c r="K102" s="36"/>
    </row>
    <row r="103" spans="3:11" ht="14.25" x14ac:dyDescent="0.2">
      <c r="C103" s="35"/>
      <c r="D103" s="31"/>
      <c r="E103" s="31"/>
      <c r="G103" s="36"/>
      <c r="H103" s="37">
        <f t="shared" si="4"/>
        <v>4</v>
      </c>
      <c r="I103" s="38" t="str">
        <f t="shared" si="3"/>
        <v/>
      </c>
      <c r="K103" s="36"/>
    </row>
    <row r="104" spans="3:11" ht="14.25" x14ac:dyDescent="0.2">
      <c r="C104" s="35"/>
      <c r="D104" s="31"/>
      <c r="E104" s="31"/>
      <c r="G104" s="36"/>
      <c r="H104" s="37">
        <f t="shared" si="4"/>
        <v>4</v>
      </c>
      <c r="I104" s="38" t="str">
        <f t="shared" si="3"/>
        <v/>
      </c>
      <c r="K104" s="36"/>
    </row>
    <row r="105" spans="3:11" ht="14.25" x14ac:dyDescent="0.2">
      <c r="C105" s="35"/>
      <c r="D105" s="31"/>
      <c r="E105" s="31"/>
      <c r="G105" s="36"/>
      <c r="H105" s="37">
        <f t="shared" si="4"/>
        <v>4</v>
      </c>
      <c r="I105" s="38" t="str">
        <f t="shared" si="3"/>
        <v/>
      </c>
      <c r="K105" s="36"/>
    </row>
    <row r="106" spans="3:11" ht="14.25" x14ac:dyDescent="0.2">
      <c r="C106" s="35"/>
      <c r="D106" s="31"/>
      <c r="E106" s="31"/>
      <c r="G106" s="36"/>
      <c r="H106" s="37">
        <f t="shared" si="4"/>
        <v>4</v>
      </c>
      <c r="I106" s="38" t="str">
        <f t="shared" si="3"/>
        <v/>
      </c>
      <c r="K106" s="36"/>
    </row>
    <row r="107" spans="3:11" ht="14.25" x14ac:dyDescent="0.2">
      <c r="C107" s="35"/>
      <c r="D107" s="31"/>
      <c r="E107" s="31"/>
      <c r="G107" s="36"/>
      <c r="H107" s="37">
        <f t="shared" si="4"/>
        <v>4</v>
      </c>
      <c r="I107" s="38" t="str">
        <f t="shared" si="3"/>
        <v/>
      </c>
      <c r="K107" s="36"/>
    </row>
    <row r="108" spans="3:11" ht="14.25" x14ac:dyDescent="0.2">
      <c r="C108" s="35"/>
      <c r="D108" s="31"/>
      <c r="E108" s="31"/>
      <c r="G108" s="36"/>
      <c r="H108" s="37">
        <f t="shared" si="4"/>
        <v>4</v>
      </c>
      <c r="I108" s="38" t="str">
        <f t="shared" si="3"/>
        <v/>
      </c>
      <c r="K108" s="36"/>
    </row>
    <row r="109" spans="3:11" ht="14.25" x14ac:dyDescent="0.2">
      <c r="C109" s="35"/>
      <c r="D109" s="31"/>
      <c r="E109" s="31"/>
      <c r="G109" s="36"/>
      <c r="H109" s="37">
        <f t="shared" si="4"/>
        <v>4</v>
      </c>
      <c r="I109" s="38" t="str">
        <f t="shared" si="3"/>
        <v/>
      </c>
      <c r="K109" s="36"/>
    </row>
    <row r="110" spans="3:11" ht="14.25" x14ac:dyDescent="0.2">
      <c r="C110" s="35"/>
      <c r="D110" s="31"/>
      <c r="E110" s="31"/>
      <c r="G110" s="36"/>
      <c r="H110" s="37">
        <f t="shared" si="4"/>
        <v>4</v>
      </c>
      <c r="I110" s="38" t="str">
        <f t="shared" si="3"/>
        <v/>
      </c>
      <c r="K110" s="36"/>
    </row>
    <row r="111" spans="3:11" ht="14.25" x14ac:dyDescent="0.2">
      <c r="C111" s="35"/>
      <c r="D111" s="31"/>
      <c r="E111" s="31"/>
      <c r="G111" s="36"/>
      <c r="H111" s="37">
        <f t="shared" si="4"/>
        <v>4</v>
      </c>
      <c r="I111" s="38" t="str">
        <f t="shared" si="3"/>
        <v/>
      </c>
      <c r="K111" s="36"/>
    </row>
    <row r="112" spans="3:11" ht="14.25" x14ac:dyDescent="0.2">
      <c r="C112" s="35"/>
      <c r="D112" s="31"/>
      <c r="E112" s="31"/>
      <c r="G112" s="36"/>
      <c r="H112" s="37">
        <f t="shared" si="4"/>
        <v>4</v>
      </c>
      <c r="I112" s="38" t="str">
        <f t="shared" si="3"/>
        <v/>
      </c>
      <c r="K112" s="36"/>
    </row>
    <row r="113" spans="3:11" ht="14.25" x14ac:dyDescent="0.2">
      <c r="C113" s="35"/>
      <c r="D113" s="31"/>
      <c r="E113" s="31"/>
      <c r="G113" s="36"/>
      <c r="H113" s="37">
        <f t="shared" si="4"/>
        <v>4</v>
      </c>
      <c r="I113" s="38" t="str">
        <f t="shared" si="3"/>
        <v/>
      </c>
      <c r="K113" s="36"/>
    </row>
    <row r="114" spans="3:11" ht="14.25" x14ac:dyDescent="0.2">
      <c r="C114" s="35"/>
      <c r="D114" s="31"/>
      <c r="E114" s="31"/>
      <c r="G114" s="36"/>
      <c r="H114" s="37">
        <f t="shared" si="4"/>
        <v>4</v>
      </c>
      <c r="I114" s="38" t="str">
        <f t="shared" si="3"/>
        <v/>
      </c>
      <c r="K114" s="36"/>
    </row>
    <row r="115" spans="3:11" ht="14.25" x14ac:dyDescent="0.2">
      <c r="C115" s="35"/>
      <c r="D115" s="31"/>
      <c r="E115" s="31"/>
      <c r="G115" s="36"/>
      <c r="H115" s="37">
        <f t="shared" si="4"/>
        <v>4</v>
      </c>
      <c r="I115" s="38" t="str">
        <f t="shared" si="3"/>
        <v/>
      </c>
      <c r="K115" s="36"/>
    </row>
    <row r="116" spans="3:11" ht="14.25" x14ac:dyDescent="0.2">
      <c r="C116" s="35"/>
      <c r="D116" s="31"/>
      <c r="E116" s="31"/>
      <c r="G116" s="36"/>
      <c r="H116" s="37">
        <f t="shared" si="4"/>
        <v>4</v>
      </c>
      <c r="I116" s="38" t="str">
        <f t="shared" si="3"/>
        <v/>
      </c>
      <c r="K116" s="36"/>
    </row>
    <row r="117" spans="3:11" ht="14.25" x14ac:dyDescent="0.2">
      <c r="C117" s="35"/>
      <c r="D117" s="31"/>
      <c r="E117" s="31"/>
      <c r="G117" s="36"/>
      <c r="H117" s="37">
        <f t="shared" si="4"/>
        <v>4</v>
      </c>
      <c r="I117" s="38" t="str">
        <f t="shared" si="3"/>
        <v/>
      </c>
      <c r="K117" s="36"/>
    </row>
    <row r="118" spans="3:11" ht="14.25" x14ac:dyDescent="0.2">
      <c r="C118" s="35"/>
      <c r="D118" s="31"/>
      <c r="E118" s="31"/>
      <c r="G118" s="36"/>
      <c r="H118" s="37">
        <f t="shared" si="4"/>
        <v>4</v>
      </c>
      <c r="I118" s="38" t="str">
        <f t="shared" si="3"/>
        <v/>
      </c>
      <c r="K118" s="36"/>
    </row>
    <row r="119" spans="3:11" ht="14.25" x14ac:dyDescent="0.2">
      <c r="C119" s="35"/>
      <c r="D119" s="31"/>
      <c r="E119" s="31"/>
      <c r="G119" s="36"/>
      <c r="H119" s="37">
        <f t="shared" si="4"/>
        <v>4</v>
      </c>
      <c r="I119" s="38" t="str">
        <f t="shared" si="3"/>
        <v/>
      </c>
      <c r="K119" s="36"/>
    </row>
    <row r="120" spans="3:11" ht="14.25" x14ac:dyDescent="0.2">
      <c r="C120" s="35"/>
      <c r="D120" s="31"/>
      <c r="E120" s="31"/>
      <c r="G120" s="36"/>
      <c r="H120" s="37">
        <f t="shared" si="4"/>
        <v>4</v>
      </c>
      <c r="I120" s="38" t="str">
        <f t="shared" si="3"/>
        <v/>
      </c>
      <c r="K120" s="36"/>
    </row>
    <row r="121" spans="3:11" ht="14.25" x14ac:dyDescent="0.2">
      <c r="C121" s="35"/>
      <c r="D121" s="31"/>
      <c r="E121" s="31"/>
      <c r="G121" s="36"/>
      <c r="H121" s="37">
        <f t="shared" si="4"/>
        <v>4</v>
      </c>
      <c r="I121" s="38" t="str">
        <f t="shared" si="3"/>
        <v/>
      </c>
      <c r="K121" s="36"/>
    </row>
    <row r="122" spans="3:11" ht="14.25" x14ac:dyDescent="0.2">
      <c r="C122" s="35"/>
      <c r="D122" s="31"/>
      <c r="E122" s="31"/>
      <c r="G122" s="36"/>
      <c r="H122" s="37">
        <f t="shared" si="4"/>
        <v>4</v>
      </c>
      <c r="I122" s="38" t="str">
        <f t="shared" si="3"/>
        <v/>
      </c>
      <c r="K122" s="36"/>
    </row>
    <row r="123" spans="3:11" ht="14.25" x14ac:dyDescent="0.2">
      <c r="C123" s="35"/>
      <c r="D123" s="31"/>
      <c r="E123" s="31"/>
      <c r="G123" s="36"/>
      <c r="H123" s="37">
        <f t="shared" si="4"/>
        <v>4</v>
      </c>
      <c r="I123" s="38" t="str">
        <f t="shared" si="3"/>
        <v/>
      </c>
      <c r="K123" s="36"/>
    </row>
    <row r="124" spans="3:11" ht="14.25" x14ac:dyDescent="0.2">
      <c r="C124" s="35"/>
      <c r="D124" s="31"/>
      <c r="E124" s="31"/>
      <c r="G124" s="36"/>
      <c r="H124" s="37">
        <f t="shared" si="4"/>
        <v>4</v>
      </c>
      <c r="I124" s="38" t="str">
        <f t="shared" si="3"/>
        <v/>
      </c>
      <c r="K124" s="36"/>
    </row>
    <row r="125" spans="3:11" ht="14.25" x14ac:dyDescent="0.2">
      <c r="C125" s="35"/>
      <c r="D125" s="31"/>
      <c r="E125" s="31"/>
      <c r="G125" s="36"/>
      <c r="H125" s="37">
        <f t="shared" si="4"/>
        <v>4</v>
      </c>
      <c r="I125" s="38" t="str">
        <f t="shared" si="3"/>
        <v/>
      </c>
      <c r="K125" s="36"/>
    </row>
    <row r="126" spans="3:11" ht="14.25" x14ac:dyDescent="0.2">
      <c r="C126" s="35"/>
      <c r="D126" s="31"/>
      <c r="E126" s="31"/>
      <c r="G126" s="36"/>
      <c r="H126" s="37">
        <f t="shared" si="4"/>
        <v>4</v>
      </c>
      <c r="I126" s="38" t="str">
        <f t="shared" si="3"/>
        <v/>
      </c>
      <c r="K126" s="36"/>
    </row>
    <row r="127" spans="3:11" ht="14.25" x14ac:dyDescent="0.2">
      <c r="C127" s="35"/>
      <c r="D127" s="31"/>
      <c r="E127" s="31"/>
      <c r="G127" s="36"/>
      <c r="H127" s="37">
        <f t="shared" si="4"/>
        <v>4</v>
      </c>
      <c r="I127" s="38" t="str">
        <f t="shared" si="3"/>
        <v/>
      </c>
      <c r="K127" s="36"/>
    </row>
    <row r="128" spans="3:11" ht="14.25" x14ac:dyDescent="0.2">
      <c r="C128" s="35"/>
      <c r="D128" s="31"/>
      <c r="E128" s="31"/>
      <c r="G128" s="36"/>
      <c r="H128" s="37">
        <f t="shared" si="4"/>
        <v>4</v>
      </c>
      <c r="I128" s="38" t="str">
        <f t="shared" si="3"/>
        <v/>
      </c>
      <c r="K128" s="36"/>
    </row>
    <row r="129" spans="3:11" ht="14.25" x14ac:dyDescent="0.2">
      <c r="C129" s="35"/>
      <c r="D129" s="31"/>
      <c r="E129" s="31"/>
      <c r="G129" s="36"/>
      <c r="H129" s="37">
        <f t="shared" si="4"/>
        <v>4</v>
      </c>
      <c r="I129" s="38" t="str">
        <f t="shared" si="3"/>
        <v/>
      </c>
      <c r="K129" s="36"/>
    </row>
    <row r="130" spans="3:11" ht="14.25" x14ac:dyDescent="0.2">
      <c r="C130" s="35"/>
      <c r="D130" s="31"/>
      <c r="E130" s="31"/>
      <c r="G130" s="36"/>
      <c r="H130" s="37">
        <f t="shared" si="4"/>
        <v>4</v>
      </c>
      <c r="I130" s="38" t="str">
        <f t="shared" si="3"/>
        <v/>
      </c>
      <c r="K130" s="36"/>
    </row>
    <row r="131" spans="3:11" ht="14.25" x14ac:dyDescent="0.2">
      <c r="C131" s="35"/>
      <c r="D131" s="31"/>
      <c r="E131" s="31"/>
      <c r="G131" s="36"/>
      <c r="H131" s="37">
        <f t="shared" si="4"/>
        <v>4</v>
      </c>
      <c r="I131" s="38" t="str">
        <f t="shared" si="3"/>
        <v/>
      </c>
      <c r="K131" s="36"/>
    </row>
    <row r="132" spans="3:11" ht="14.25" x14ac:dyDescent="0.2">
      <c r="C132" s="35"/>
      <c r="D132" s="31"/>
      <c r="E132" s="31"/>
      <c r="G132" s="36"/>
      <c r="H132" s="37">
        <f t="shared" si="4"/>
        <v>4</v>
      </c>
      <c r="I132" s="38" t="str">
        <f t="shared" si="3"/>
        <v/>
      </c>
      <c r="K132" s="36"/>
    </row>
    <row r="133" spans="3:11" ht="14.25" x14ac:dyDescent="0.2">
      <c r="C133" s="35"/>
      <c r="D133" s="31"/>
      <c r="E133" s="31"/>
      <c r="G133" s="36"/>
      <c r="H133" s="37">
        <f t="shared" si="4"/>
        <v>4</v>
      </c>
      <c r="I133" s="38" t="str">
        <f t="shared" si="3"/>
        <v/>
      </c>
      <c r="K133" s="36"/>
    </row>
    <row r="134" spans="3:11" ht="14.25" x14ac:dyDescent="0.2">
      <c r="C134" s="35"/>
      <c r="D134" s="31"/>
      <c r="E134" s="31"/>
      <c r="G134" s="36"/>
      <c r="H134" s="37">
        <f t="shared" si="4"/>
        <v>4</v>
      </c>
      <c r="I134" s="38" t="str">
        <f t="shared" si="3"/>
        <v/>
      </c>
      <c r="K134" s="36"/>
    </row>
    <row r="135" spans="3:11" ht="14.25" x14ac:dyDescent="0.2">
      <c r="C135" s="35"/>
      <c r="D135" s="31"/>
      <c r="E135" s="31"/>
      <c r="G135" s="36"/>
      <c r="H135" s="37">
        <f t="shared" si="4"/>
        <v>4</v>
      </c>
      <c r="I135" s="38" t="str">
        <f t="shared" ref="I135:I198" si="5">IF(C135="","",I134+IF(D135="Ingreso",H135,-H135))</f>
        <v/>
      </c>
      <c r="K135" s="36"/>
    </row>
    <row r="136" spans="3:11" ht="14.25" x14ac:dyDescent="0.2">
      <c r="C136" s="35"/>
      <c r="D136" s="31"/>
      <c r="E136" s="31"/>
      <c r="G136" s="36"/>
      <c r="H136" s="37">
        <f t="shared" si="4"/>
        <v>4</v>
      </c>
      <c r="I136" s="38" t="str">
        <f t="shared" si="5"/>
        <v/>
      </c>
      <c r="K136" s="36"/>
    </row>
    <row r="137" spans="3:11" ht="14.25" x14ac:dyDescent="0.2">
      <c r="C137" s="35"/>
      <c r="D137" s="31"/>
      <c r="E137" s="31"/>
      <c r="G137" s="36"/>
      <c r="H137" s="37">
        <f t="shared" si="4"/>
        <v>4</v>
      </c>
      <c r="I137" s="38" t="str">
        <f t="shared" si="5"/>
        <v/>
      </c>
      <c r="K137" s="36"/>
    </row>
    <row r="138" spans="3:11" ht="14.25" x14ac:dyDescent="0.2">
      <c r="C138" s="35"/>
      <c r="D138" s="31"/>
      <c r="E138" s="31"/>
      <c r="G138" s="36"/>
      <c r="H138" s="37">
        <f t="shared" si="4"/>
        <v>4</v>
      </c>
      <c r="I138" s="38" t="str">
        <f t="shared" si="5"/>
        <v/>
      </c>
      <c r="K138" s="36"/>
    </row>
    <row r="139" spans="3:11" ht="14.25" x14ac:dyDescent="0.2">
      <c r="C139" s="35"/>
      <c r="D139" s="31"/>
      <c r="E139" s="31"/>
      <c r="G139" s="36"/>
      <c r="H139" s="37">
        <f t="shared" si="4"/>
        <v>4</v>
      </c>
      <c r="I139" s="38" t="str">
        <f t="shared" si="5"/>
        <v/>
      </c>
      <c r="K139" s="36"/>
    </row>
    <row r="140" spans="3:11" ht="14.25" x14ac:dyDescent="0.2">
      <c r="C140" s="35"/>
      <c r="D140" s="31"/>
      <c r="E140" s="31"/>
      <c r="G140" s="36"/>
      <c r="H140" s="37">
        <f t="shared" si="4"/>
        <v>4</v>
      </c>
      <c r="I140" s="38" t="str">
        <f t="shared" si="5"/>
        <v/>
      </c>
      <c r="K140" s="36"/>
    </row>
    <row r="141" spans="3:11" ht="14.25" x14ac:dyDescent="0.2">
      <c r="C141" s="35"/>
      <c r="D141" s="31"/>
      <c r="E141" s="31"/>
      <c r="G141" s="36"/>
      <c r="H141" s="37">
        <f t="shared" si="4"/>
        <v>4</v>
      </c>
      <c r="I141" s="38" t="str">
        <f t="shared" si="5"/>
        <v/>
      </c>
      <c r="K141" s="36"/>
    </row>
    <row r="142" spans="3:11" ht="14.25" x14ac:dyDescent="0.2">
      <c r="C142" s="35"/>
      <c r="D142" s="31"/>
      <c r="E142" s="31"/>
      <c r="G142" s="36"/>
      <c r="H142" s="37">
        <f t="shared" si="4"/>
        <v>4</v>
      </c>
      <c r="I142" s="38" t="str">
        <f t="shared" si="5"/>
        <v/>
      </c>
      <c r="K142" s="36"/>
    </row>
    <row r="143" spans="3:11" ht="14.25" x14ac:dyDescent="0.2">
      <c r="C143" s="35"/>
      <c r="D143" s="31"/>
      <c r="E143" s="31"/>
      <c r="G143" s="36"/>
      <c r="H143" s="37">
        <f t="shared" si="4"/>
        <v>4</v>
      </c>
      <c r="I143" s="38" t="str">
        <f t="shared" si="5"/>
        <v/>
      </c>
      <c r="K143" s="36"/>
    </row>
    <row r="144" spans="3:11" ht="14.25" x14ac:dyDescent="0.2">
      <c r="C144" s="35"/>
      <c r="D144" s="31"/>
      <c r="E144" s="31"/>
      <c r="G144" s="36"/>
      <c r="H144" s="37">
        <f t="shared" si="4"/>
        <v>4</v>
      </c>
      <c r="I144" s="38" t="str">
        <f t="shared" si="5"/>
        <v/>
      </c>
      <c r="K144" s="36"/>
    </row>
    <row r="145" spans="3:11" ht="14.25" x14ac:dyDescent="0.2">
      <c r="C145" s="35"/>
      <c r="D145" s="31"/>
      <c r="E145" s="31"/>
      <c r="G145" s="36"/>
      <c r="H145" s="37">
        <f t="shared" si="4"/>
        <v>4</v>
      </c>
      <c r="I145" s="38" t="str">
        <f t="shared" si="5"/>
        <v/>
      </c>
      <c r="K145" s="36"/>
    </row>
    <row r="146" spans="3:11" ht="14.25" x14ac:dyDescent="0.2">
      <c r="C146" s="35"/>
      <c r="D146" s="31"/>
      <c r="E146" s="31"/>
      <c r="G146" s="36"/>
      <c r="H146" s="37">
        <f t="shared" si="4"/>
        <v>4</v>
      </c>
      <c r="I146" s="38" t="str">
        <f t="shared" si="5"/>
        <v/>
      </c>
      <c r="K146" s="36"/>
    </row>
    <row r="147" spans="3:11" ht="14.25" x14ac:dyDescent="0.2">
      <c r="C147" s="35"/>
      <c r="D147" s="31"/>
      <c r="E147" s="31"/>
      <c r="G147" s="36"/>
      <c r="H147" s="37">
        <f t="shared" si="4"/>
        <v>4</v>
      </c>
      <c r="I147" s="38" t="str">
        <f t="shared" si="5"/>
        <v/>
      </c>
      <c r="K147" s="36"/>
    </row>
    <row r="148" spans="3:11" ht="14.25" x14ac:dyDescent="0.2">
      <c r="C148" s="35"/>
      <c r="D148" s="31"/>
      <c r="E148" s="31"/>
      <c r="G148" s="36"/>
      <c r="H148" s="37">
        <f t="shared" si="4"/>
        <v>4</v>
      </c>
      <c r="I148" s="38" t="str">
        <f t="shared" si="5"/>
        <v/>
      </c>
      <c r="K148" s="36"/>
    </row>
    <row r="149" spans="3:11" ht="14.25" x14ac:dyDescent="0.2">
      <c r="C149" s="35"/>
      <c r="D149" s="31"/>
      <c r="E149" s="31"/>
      <c r="G149" s="36"/>
      <c r="H149" s="37">
        <f t="shared" si="4"/>
        <v>4</v>
      </c>
      <c r="I149" s="38" t="str">
        <f t="shared" si="5"/>
        <v/>
      </c>
      <c r="K149" s="36"/>
    </row>
    <row r="150" spans="3:11" ht="14.25" x14ac:dyDescent="0.2">
      <c r="C150" s="35"/>
      <c r="D150" s="31"/>
      <c r="E150" s="31"/>
      <c r="G150" s="36"/>
      <c r="H150" s="37">
        <f t="shared" si="4"/>
        <v>4</v>
      </c>
      <c r="I150" s="38" t="str">
        <f t="shared" si="5"/>
        <v/>
      </c>
      <c r="K150" s="36"/>
    </row>
    <row r="151" spans="3:11" ht="14.25" x14ac:dyDescent="0.2">
      <c r="C151" s="35"/>
      <c r="D151" s="31"/>
      <c r="E151" s="31"/>
      <c r="G151" s="36"/>
      <c r="H151" s="37">
        <f t="shared" si="4"/>
        <v>4</v>
      </c>
      <c r="I151" s="38" t="str">
        <f t="shared" si="5"/>
        <v/>
      </c>
      <c r="K151" s="36"/>
    </row>
    <row r="152" spans="3:11" ht="14.25" x14ac:dyDescent="0.2">
      <c r="C152" s="35"/>
      <c r="D152" s="31"/>
      <c r="E152" s="31"/>
      <c r="G152" s="36"/>
      <c r="H152" s="37">
        <f t="shared" si="4"/>
        <v>4</v>
      </c>
      <c r="I152" s="38" t="str">
        <f t="shared" si="5"/>
        <v/>
      </c>
      <c r="K152" s="36"/>
    </row>
    <row r="153" spans="3:11" ht="14.25" x14ac:dyDescent="0.2">
      <c r="C153" s="35"/>
      <c r="D153" s="31"/>
      <c r="E153" s="31"/>
      <c r="G153" s="36"/>
      <c r="H153" s="37">
        <f t="shared" si="4"/>
        <v>4</v>
      </c>
      <c r="I153" s="38" t="str">
        <f t="shared" si="5"/>
        <v/>
      </c>
      <c r="K153" s="36"/>
    </row>
    <row r="154" spans="3:11" ht="14.25" x14ac:dyDescent="0.2">
      <c r="C154" s="35"/>
      <c r="D154" s="31"/>
      <c r="E154" s="31"/>
      <c r="G154" s="36"/>
      <c r="H154" s="37">
        <f t="shared" si="4"/>
        <v>4</v>
      </c>
      <c r="I154" s="38" t="str">
        <f t="shared" si="5"/>
        <v/>
      </c>
      <c r="K154" s="36"/>
    </row>
    <row r="155" spans="3:11" ht="14.25" x14ac:dyDescent="0.2">
      <c r="C155" s="35"/>
      <c r="D155" s="31"/>
      <c r="E155" s="31"/>
      <c r="G155" s="36"/>
      <c r="H155" s="37">
        <f t="shared" si="4"/>
        <v>4</v>
      </c>
      <c r="I155" s="38" t="str">
        <f t="shared" si="5"/>
        <v/>
      </c>
      <c r="K155" s="36"/>
    </row>
    <row r="156" spans="3:11" ht="14.25" x14ac:dyDescent="0.2">
      <c r="C156" s="35"/>
      <c r="D156" s="31"/>
      <c r="E156" s="31"/>
      <c r="G156" s="36"/>
      <c r="H156" s="37">
        <f t="shared" si="4"/>
        <v>4</v>
      </c>
      <c r="I156" s="38" t="str">
        <f t="shared" si="5"/>
        <v/>
      </c>
      <c r="K156" s="36"/>
    </row>
    <row r="157" spans="3:11" ht="14.25" x14ac:dyDescent="0.2">
      <c r="C157" s="35"/>
      <c r="D157" s="31"/>
      <c r="E157" s="31"/>
      <c r="G157" s="36"/>
      <c r="H157" s="37">
        <f t="shared" si="4"/>
        <v>4</v>
      </c>
      <c r="I157" s="38" t="str">
        <f t="shared" si="5"/>
        <v/>
      </c>
      <c r="K157" s="36"/>
    </row>
    <row r="158" spans="3:11" ht="14.25" x14ac:dyDescent="0.2">
      <c r="C158" s="35"/>
      <c r="D158" s="31"/>
      <c r="E158" s="31"/>
      <c r="G158" s="36"/>
      <c r="H158" s="37">
        <f t="shared" si="4"/>
        <v>4</v>
      </c>
      <c r="I158" s="38" t="str">
        <f t="shared" si="5"/>
        <v/>
      </c>
      <c r="K158" s="36"/>
    </row>
    <row r="159" spans="3:11" ht="14.25" x14ac:dyDescent="0.2">
      <c r="C159" s="35"/>
      <c r="D159" s="31"/>
      <c r="E159" s="31"/>
      <c r="G159" s="36"/>
      <c r="H159" s="37">
        <f t="shared" si="4"/>
        <v>4</v>
      </c>
      <c r="I159" s="38" t="str">
        <f t="shared" si="5"/>
        <v/>
      </c>
      <c r="K159" s="36"/>
    </row>
    <row r="160" spans="3:11" ht="14.25" x14ac:dyDescent="0.2">
      <c r="C160" s="35"/>
      <c r="D160" s="31"/>
      <c r="E160" s="31"/>
      <c r="G160" s="36"/>
      <c r="H160" s="37">
        <f t="shared" si="4"/>
        <v>4</v>
      </c>
      <c r="I160" s="38" t="str">
        <f t="shared" si="5"/>
        <v/>
      </c>
      <c r="K160" s="36"/>
    </row>
    <row r="161" spans="3:11" ht="14.25" x14ac:dyDescent="0.2">
      <c r="C161" s="35"/>
      <c r="D161" s="31"/>
      <c r="E161" s="31"/>
      <c r="G161" s="36"/>
      <c r="H161" s="37">
        <f t="shared" si="4"/>
        <v>4</v>
      </c>
      <c r="I161" s="38" t="str">
        <f t="shared" si="5"/>
        <v/>
      </c>
      <c r="K161" s="36"/>
    </row>
    <row r="162" spans="3:11" ht="14.25" x14ac:dyDescent="0.2">
      <c r="C162" s="35"/>
      <c r="D162" s="31"/>
      <c r="E162" s="31"/>
      <c r="G162" s="36"/>
      <c r="H162" s="37">
        <f t="shared" si="4"/>
        <v>4</v>
      </c>
      <c r="I162" s="38" t="str">
        <f t="shared" si="5"/>
        <v/>
      </c>
      <c r="K162" s="36"/>
    </row>
    <row r="163" spans="3:11" ht="14.25" x14ac:dyDescent="0.2">
      <c r="C163" s="35"/>
      <c r="D163" s="31"/>
      <c r="E163" s="31"/>
      <c r="G163" s="36"/>
      <c r="H163" s="37">
        <f t="shared" si="4"/>
        <v>4</v>
      </c>
      <c r="I163" s="38" t="str">
        <f t="shared" si="5"/>
        <v/>
      </c>
      <c r="K163" s="36"/>
    </row>
    <row r="164" spans="3:11" ht="14.25" x14ac:dyDescent="0.2">
      <c r="C164" s="35"/>
      <c r="D164" s="31"/>
      <c r="E164" s="31"/>
      <c r="G164" s="36"/>
      <c r="H164" s="37">
        <f t="shared" ref="H164:H227" si="6">H163-G164</f>
        <v>4</v>
      </c>
      <c r="I164" s="38" t="str">
        <f t="shared" si="5"/>
        <v/>
      </c>
      <c r="K164" s="36"/>
    </row>
    <row r="165" spans="3:11" ht="14.25" x14ac:dyDescent="0.2">
      <c r="C165" s="35"/>
      <c r="D165" s="31"/>
      <c r="E165" s="31"/>
      <c r="G165" s="36"/>
      <c r="H165" s="37">
        <f t="shared" si="6"/>
        <v>4</v>
      </c>
      <c r="I165" s="38" t="str">
        <f t="shared" si="5"/>
        <v/>
      </c>
      <c r="K165" s="36"/>
    </row>
    <row r="166" spans="3:11" ht="14.25" x14ac:dyDescent="0.2">
      <c r="C166" s="35"/>
      <c r="D166" s="31"/>
      <c r="E166" s="31"/>
      <c r="G166" s="36"/>
      <c r="H166" s="37">
        <f t="shared" si="6"/>
        <v>4</v>
      </c>
      <c r="I166" s="38" t="str">
        <f t="shared" si="5"/>
        <v/>
      </c>
      <c r="K166" s="36"/>
    </row>
    <row r="167" spans="3:11" ht="14.25" x14ac:dyDescent="0.2">
      <c r="C167" s="35"/>
      <c r="D167" s="31"/>
      <c r="E167" s="31"/>
      <c r="G167" s="36"/>
      <c r="H167" s="37">
        <f t="shared" si="6"/>
        <v>4</v>
      </c>
      <c r="I167" s="38" t="str">
        <f t="shared" si="5"/>
        <v/>
      </c>
      <c r="K167" s="36"/>
    </row>
    <row r="168" spans="3:11" ht="14.25" x14ac:dyDescent="0.2">
      <c r="C168" s="35"/>
      <c r="D168" s="31"/>
      <c r="E168" s="31"/>
      <c r="G168" s="36"/>
      <c r="H168" s="37">
        <f t="shared" si="6"/>
        <v>4</v>
      </c>
      <c r="I168" s="38" t="str">
        <f t="shared" si="5"/>
        <v/>
      </c>
      <c r="K168" s="36"/>
    </row>
    <row r="169" spans="3:11" ht="14.25" x14ac:dyDescent="0.2">
      <c r="C169" s="35"/>
      <c r="D169" s="31"/>
      <c r="E169" s="31"/>
      <c r="G169" s="36"/>
      <c r="H169" s="37">
        <f t="shared" si="6"/>
        <v>4</v>
      </c>
      <c r="I169" s="38" t="str">
        <f t="shared" si="5"/>
        <v/>
      </c>
      <c r="K169" s="36"/>
    </row>
    <row r="170" spans="3:11" ht="14.25" x14ac:dyDescent="0.2">
      <c r="C170" s="35"/>
      <c r="D170" s="31"/>
      <c r="E170" s="31"/>
      <c r="G170" s="36"/>
      <c r="H170" s="37">
        <f t="shared" si="6"/>
        <v>4</v>
      </c>
      <c r="I170" s="38" t="str">
        <f t="shared" si="5"/>
        <v/>
      </c>
      <c r="K170" s="36"/>
    </row>
    <row r="171" spans="3:11" ht="14.25" x14ac:dyDescent="0.2">
      <c r="C171" s="35"/>
      <c r="D171" s="31"/>
      <c r="E171" s="31"/>
      <c r="G171" s="36"/>
      <c r="H171" s="37">
        <f t="shared" si="6"/>
        <v>4</v>
      </c>
      <c r="I171" s="38" t="str">
        <f t="shared" si="5"/>
        <v/>
      </c>
      <c r="K171" s="36"/>
    </row>
    <row r="172" spans="3:11" ht="14.25" x14ac:dyDescent="0.2">
      <c r="C172" s="35"/>
      <c r="D172" s="31"/>
      <c r="E172" s="31"/>
      <c r="G172" s="36"/>
      <c r="H172" s="37">
        <f t="shared" si="6"/>
        <v>4</v>
      </c>
      <c r="I172" s="38" t="str">
        <f t="shared" si="5"/>
        <v/>
      </c>
      <c r="K172" s="36"/>
    </row>
    <row r="173" spans="3:11" ht="14.25" x14ac:dyDescent="0.2">
      <c r="C173" s="35"/>
      <c r="D173" s="31"/>
      <c r="E173" s="31"/>
      <c r="G173" s="36"/>
      <c r="H173" s="37">
        <f t="shared" si="6"/>
        <v>4</v>
      </c>
      <c r="I173" s="38" t="str">
        <f t="shared" si="5"/>
        <v/>
      </c>
      <c r="K173" s="36"/>
    </row>
    <row r="174" spans="3:11" ht="14.25" x14ac:dyDescent="0.2">
      <c r="C174" s="35"/>
      <c r="D174" s="31"/>
      <c r="E174" s="31"/>
      <c r="G174" s="36"/>
      <c r="H174" s="37">
        <f t="shared" si="6"/>
        <v>4</v>
      </c>
      <c r="I174" s="38" t="str">
        <f t="shared" si="5"/>
        <v/>
      </c>
      <c r="K174" s="36"/>
    </row>
    <row r="175" spans="3:11" ht="14.25" x14ac:dyDescent="0.2">
      <c r="C175" s="35"/>
      <c r="D175" s="31"/>
      <c r="E175" s="31"/>
      <c r="G175" s="36"/>
      <c r="H175" s="37">
        <f t="shared" si="6"/>
        <v>4</v>
      </c>
      <c r="I175" s="38" t="str">
        <f t="shared" si="5"/>
        <v/>
      </c>
      <c r="K175" s="36"/>
    </row>
    <row r="176" spans="3:11" ht="14.25" x14ac:dyDescent="0.2">
      <c r="C176" s="35"/>
      <c r="D176" s="31"/>
      <c r="E176" s="31"/>
      <c r="G176" s="36"/>
      <c r="H176" s="37">
        <f t="shared" si="6"/>
        <v>4</v>
      </c>
      <c r="I176" s="38" t="str">
        <f t="shared" si="5"/>
        <v/>
      </c>
      <c r="K176" s="36"/>
    </row>
    <row r="177" spans="3:11" ht="14.25" x14ac:dyDescent="0.2">
      <c r="C177" s="35"/>
      <c r="D177" s="31"/>
      <c r="E177" s="31"/>
      <c r="G177" s="36"/>
      <c r="H177" s="37">
        <f t="shared" si="6"/>
        <v>4</v>
      </c>
      <c r="I177" s="38" t="str">
        <f t="shared" si="5"/>
        <v/>
      </c>
      <c r="K177" s="36"/>
    </row>
    <row r="178" spans="3:11" ht="14.25" x14ac:dyDescent="0.2">
      <c r="C178" s="35"/>
      <c r="D178" s="31"/>
      <c r="E178" s="31"/>
      <c r="G178" s="36"/>
      <c r="H178" s="37">
        <f t="shared" si="6"/>
        <v>4</v>
      </c>
      <c r="I178" s="38" t="str">
        <f t="shared" si="5"/>
        <v/>
      </c>
      <c r="K178" s="36"/>
    </row>
    <row r="179" spans="3:11" ht="14.25" x14ac:dyDescent="0.2">
      <c r="C179" s="35"/>
      <c r="D179" s="31"/>
      <c r="E179" s="31"/>
      <c r="G179" s="36"/>
      <c r="H179" s="37">
        <f t="shared" si="6"/>
        <v>4</v>
      </c>
      <c r="I179" s="38" t="str">
        <f t="shared" si="5"/>
        <v/>
      </c>
      <c r="K179" s="36"/>
    </row>
    <row r="180" spans="3:11" ht="14.25" x14ac:dyDescent="0.2">
      <c r="C180" s="35"/>
      <c r="D180" s="31"/>
      <c r="E180" s="31"/>
      <c r="G180" s="36"/>
      <c r="H180" s="37">
        <f t="shared" si="6"/>
        <v>4</v>
      </c>
      <c r="I180" s="38" t="str">
        <f t="shared" si="5"/>
        <v/>
      </c>
      <c r="K180" s="36"/>
    </row>
    <row r="181" spans="3:11" ht="14.25" x14ac:dyDescent="0.2">
      <c r="C181" s="35"/>
      <c r="D181" s="31"/>
      <c r="E181" s="31"/>
      <c r="G181" s="36"/>
      <c r="H181" s="37">
        <f t="shared" si="6"/>
        <v>4</v>
      </c>
      <c r="I181" s="38" t="str">
        <f t="shared" si="5"/>
        <v/>
      </c>
      <c r="K181" s="36"/>
    </row>
    <row r="182" spans="3:11" ht="14.25" x14ac:dyDescent="0.2">
      <c r="C182" s="35"/>
      <c r="D182" s="31"/>
      <c r="E182" s="31"/>
      <c r="G182" s="36"/>
      <c r="H182" s="37">
        <f t="shared" si="6"/>
        <v>4</v>
      </c>
      <c r="I182" s="38" t="str">
        <f t="shared" si="5"/>
        <v/>
      </c>
      <c r="K182" s="36"/>
    </row>
    <row r="183" spans="3:11" ht="14.25" x14ac:dyDescent="0.2">
      <c r="C183" s="35"/>
      <c r="D183" s="31"/>
      <c r="E183" s="31"/>
      <c r="G183" s="36"/>
      <c r="H183" s="37">
        <f t="shared" si="6"/>
        <v>4</v>
      </c>
      <c r="I183" s="38" t="str">
        <f t="shared" si="5"/>
        <v/>
      </c>
      <c r="K183" s="36"/>
    </row>
    <row r="184" spans="3:11" ht="14.25" x14ac:dyDescent="0.2">
      <c r="C184" s="35"/>
      <c r="D184" s="31"/>
      <c r="E184" s="31"/>
      <c r="G184" s="36"/>
      <c r="H184" s="37">
        <f t="shared" si="6"/>
        <v>4</v>
      </c>
      <c r="I184" s="38" t="str">
        <f t="shared" si="5"/>
        <v/>
      </c>
      <c r="K184" s="36"/>
    </row>
    <row r="185" spans="3:11" ht="14.25" x14ac:dyDescent="0.2">
      <c r="C185" s="35"/>
      <c r="D185" s="31"/>
      <c r="E185" s="31"/>
      <c r="G185" s="36"/>
      <c r="H185" s="37">
        <f t="shared" si="6"/>
        <v>4</v>
      </c>
      <c r="I185" s="38" t="str">
        <f t="shared" si="5"/>
        <v/>
      </c>
      <c r="K185" s="36"/>
    </row>
    <row r="186" spans="3:11" ht="14.25" x14ac:dyDescent="0.2">
      <c r="C186" s="35"/>
      <c r="D186" s="31"/>
      <c r="E186" s="31"/>
      <c r="G186" s="36"/>
      <c r="H186" s="37">
        <f t="shared" si="6"/>
        <v>4</v>
      </c>
      <c r="I186" s="38" t="str">
        <f t="shared" si="5"/>
        <v/>
      </c>
      <c r="K186" s="36"/>
    </row>
    <row r="187" spans="3:11" ht="14.25" x14ac:dyDescent="0.2">
      <c r="C187" s="35"/>
      <c r="D187" s="31"/>
      <c r="E187" s="31"/>
      <c r="G187" s="36"/>
      <c r="H187" s="37">
        <f t="shared" si="6"/>
        <v>4</v>
      </c>
      <c r="I187" s="38" t="str">
        <f t="shared" si="5"/>
        <v/>
      </c>
      <c r="K187" s="36"/>
    </row>
    <row r="188" spans="3:11" ht="14.25" x14ac:dyDescent="0.2">
      <c r="C188" s="35"/>
      <c r="D188" s="31"/>
      <c r="E188" s="31"/>
      <c r="G188" s="36"/>
      <c r="H188" s="37">
        <f t="shared" si="6"/>
        <v>4</v>
      </c>
      <c r="I188" s="38" t="str">
        <f t="shared" si="5"/>
        <v/>
      </c>
      <c r="K188" s="36"/>
    </row>
    <row r="189" spans="3:11" ht="14.25" x14ac:dyDescent="0.2">
      <c r="C189" s="35"/>
      <c r="D189" s="31"/>
      <c r="E189" s="31"/>
      <c r="G189" s="36"/>
      <c r="H189" s="37">
        <f t="shared" si="6"/>
        <v>4</v>
      </c>
      <c r="I189" s="38" t="str">
        <f t="shared" si="5"/>
        <v/>
      </c>
      <c r="K189" s="36"/>
    </row>
    <row r="190" spans="3:11" ht="14.25" x14ac:dyDescent="0.2">
      <c r="C190" s="35"/>
      <c r="D190" s="31"/>
      <c r="E190" s="31"/>
      <c r="G190" s="36"/>
      <c r="H190" s="37">
        <f t="shared" si="6"/>
        <v>4</v>
      </c>
      <c r="I190" s="38" t="str">
        <f t="shared" si="5"/>
        <v/>
      </c>
      <c r="K190" s="36"/>
    </row>
    <row r="191" spans="3:11" ht="14.25" x14ac:dyDescent="0.2">
      <c r="C191" s="35"/>
      <c r="D191" s="31"/>
      <c r="E191" s="31"/>
      <c r="G191" s="36"/>
      <c r="H191" s="37">
        <f t="shared" si="6"/>
        <v>4</v>
      </c>
      <c r="I191" s="38" t="str">
        <f t="shared" si="5"/>
        <v/>
      </c>
      <c r="K191" s="36"/>
    </row>
    <row r="192" spans="3:11" ht="14.25" x14ac:dyDescent="0.2">
      <c r="C192" s="35"/>
      <c r="D192" s="31"/>
      <c r="E192" s="31"/>
      <c r="G192" s="36"/>
      <c r="H192" s="37">
        <f t="shared" si="6"/>
        <v>4</v>
      </c>
      <c r="I192" s="38" t="str">
        <f t="shared" si="5"/>
        <v/>
      </c>
      <c r="K192" s="36"/>
    </row>
    <row r="193" spans="3:11" ht="14.25" x14ac:dyDescent="0.2">
      <c r="C193" s="35"/>
      <c r="D193" s="31"/>
      <c r="E193" s="31"/>
      <c r="G193" s="36"/>
      <c r="H193" s="37">
        <f t="shared" si="6"/>
        <v>4</v>
      </c>
      <c r="I193" s="38" t="str">
        <f t="shared" si="5"/>
        <v/>
      </c>
      <c r="K193" s="36"/>
    </row>
    <row r="194" spans="3:11" ht="14.25" x14ac:dyDescent="0.2">
      <c r="C194" s="35"/>
      <c r="D194" s="31"/>
      <c r="E194" s="31"/>
      <c r="G194" s="36"/>
      <c r="H194" s="37">
        <f t="shared" si="6"/>
        <v>4</v>
      </c>
      <c r="I194" s="38" t="str">
        <f t="shared" si="5"/>
        <v/>
      </c>
      <c r="K194" s="36"/>
    </row>
    <row r="195" spans="3:11" ht="14.25" x14ac:dyDescent="0.2">
      <c r="C195" s="35"/>
      <c r="D195" s="31"/>
      <c r="E195" s="31"/>
      <c r="G195" s="36"/>
      <c r="H195" s="37">
        <f t="shared" si="6"/>
        <v>4</v>
      </c>
      <c r="I195" s="38" t="str">
        <f t="shared" si="5"/>
        <v/>
      </c>
      <c r="K195" s="36"/>
    </row>
    <row r="196" spans="3:11" ht="14.25" x14ac:dyDescent="0.2">
      <c r="C196" s="35"/>
      <c r="D196" s="31"/>
      <c r="E196" s="31"/>
      <c r="G196" s="36"/>
      <c r="H196" s="37">
        <f t="shared" si="6"/>
        <v>4</v>
      </c>
      <c r="I196" s="38" t="str">
        <f t="shared" si="5"/>
        <v/>
      </c>
      <c r="K196" s="36"/>
    </row>
    <row r="197" spans="3:11" ht="14.25" x14ac:dyDescent="0.2">
      <c r="C197" s="35"/>
      <c r="D197" s="31"/>
      <c r="E197" s="31"/>
      <c r="G197" s="36"/>
      <c r="H197" s="37">
        <f t="shared" si="6"/>
        <v>4</v>
      </c>
      <c r="I197" s="38" t="str">
        <f t="shared" si="5"/>
        <v/>
      </c>
      <c r="K197" s="36"/>
    </row>
    <row r="198" spans="3:11" ht="14.25" x14ac:dyDescent="0.2">
      <c r="C198" s="35"/>
      <c r="D198" s="31"/>
      <c r="E198" s="31"/>
      <c r="G198" s="36"/>
      <c r="H198" s="37">
        <f t="shared" si="6"/>
        <v>4</v>
      </c>
      <c r="I198" s="38" t="str">
        <f t="shared" si="5"/>
        <v/>
      </c>
      <c r="K198" s="36"/>
    </row>
    <row r="199" spans="3:11" ht="14.25" x14ac:dyDescent="0.2">
      <c r="C199" s="35"/>
      <c r="D199" s="31"/>
      <c r="E199" s="31"/>
      <c r="G199" s="36"/>
      <c r="H199" s="37">
        <f t="shared" si="6"/>
        <v>4</v>
      </c>
      <c r="I199" s="38" t="str">
        <f t="shared" ref="I199:I262" si="7">IF(C199="","",I198+IF(D199="Ingreso",H199,-H199))</f>
        <v/>
      </c>
      <c r="K199" s="36"/>
    </row>
    <row r="200" spans="3:11" ht="14.25" x14ac:dyDescent="0.2">
      <c r="C200" s="35"/>
      <c r="D200" s="31"/>
      <c r="E200" s="31"/>
      <c r="G200" s="36"/>
      <c r="H200" s="37">
        <f t="shared" si="6"/>
        <v>4</v>
      </c>
      <c r="I200" s="38" t="str">
        <f t="shared" si="7"/>
        <v/>
      </c>
      <c r="K200" s="36"/>
    </row>
    <row r="201" spans="3:11" ht="14.25" x14ac:dyDescent="0.2">
      <c r="C201" s="35"/>
      <c r="D201" s="31"/>
      <c r="E201" s="31"/>
      <c r="G201" s="36"/>
      <c r="H201" s="37">
        <f t="shared" si="6"/>
        <v>4</v>
      </c>
      <c r="I201" s="38" t="str">
        <f t="shared" si="7"/>
        <v/>
      </c>
      <c r="K201" s="36"/>
    </row>
    <row r="202" spans="3:11" ht="14.25" x14ac:dyDescent="0.2">
      <c r="C202" s="35"/>
      <c r="D202" s="31"/>
      <c r="E202" s="31"/>
      <c r="G202" s="36"/>
      <c r="H202" s="37">
        <f t="shared" si="6"/>
        <v>4</v>
      </c>
      <c r="I202" s="38" t="str">
        <f t="shared" si="7"/>
        <v/>
      </c>
      <c r="K202" s="36"/>
    </row>
    <row r="203" spans="3:11" ht="14.25" x14ac:dyDescent="0.2">
      <c r="C203" s="35"/>
      <c r="D203" s="31"/>
      <c r="E203" s="31"/>
      <c r="G203" s="36"/>
      <c r="H203" s="37">
        <f t="shared" si="6"/>
        <v>4</v>
      </c>
      <c r="I203" s="38" t="str">
        <f t="shared" si="7"/>
        <v/>
      </c>
      <c r="K203" s="36"/>
    </row>
    <row r="204" spans="3:11" ht="14.25" x14ac:dyDescent="0.2">
      <c r="C204" s="35"/>
      <c r="D204" s="31"/>
      <c r="E204" s="31"/>
      <c r="G204" s="36"/>
      <c r="H204" s="37">
        <f t="shared" si="6"/>
        <v>4</v>
      </c>
      <c r="I204" s="38" t="str">
        <f t="shared" si="7"/>
        <v/>
      </c>
      <c r="K204" s="36"/>
    </row>
    <row r="205" spans="3:11" ht="14.25" x14ac:dyDescent="0.2">
      <c r="C205" s="35"/>
      <c r="D205" s="31"/>
      <c r="E205" s="31"/>
      <c r="G205" s="36"/>
      <c r="H205" s="37">
        <f t="shared" si="6"/>
        <v>4</v>
      </c>
      <c r="I205" s="38" t="str">
        <f t="shared" si="7"/>
        <v/>
      </c>
      <c r="K205" s="36"/>
    </row>
    <row r="206" spans="3:11" ht="14.25" x14ac:dyDescent="0.2">
      <c r="C206" s="35"/>
      <c r="D206" s="31"/>
      <c r="E206" s="31"/>
      <c r="G206" s="36"/>
      <c r="H206" s="37">
        <f t="shared" si="6"/>
        <v>4</v>
      </c>
      <c r="I206" s="38" t="str">
        <f t="shared" si="7"/>
        <v/>
      </c>
      <c r="K206" s="36"/>
    </row>
    <row r="207" spans="3:11" ht="14.25" x14ac:dyDescent="0.2">
      <c r="C207" s="35"/>
      <c r="D207" s="31"/>
      <c r="E207" s="31"/>
      <c r="G207" s="36"/>
      <c r="H207" s="37">
        <f t="shared" si="6"/>
        <v>4</v>
      </c>
      <c r="I207" s="38" t="str">
        <f t="shared" si="7"/>
        <v/>
      </c>
      <c r="K207" s="36"/>
    </row>
    <row r="208" spans="3:11" ht="14.25" x14ac:dyDescent="0.2">
      <c r="C208" s="35"/>
      <c r="D208" s="31"/>
      <c r="E208" s="31"/>
      <c r="G208" s="36"/>
      <c r="H208" s="37">
        <f t="shared" si="6"/>
        <v>4</v>
      </c>
      <c r="I208" s="38" t="str">
        <f t="shared" si="7"/>
        <v/>
      </c>
      <c r="K208" s="36"/>
    </row>
    <row r="209" spans="3:11" ht="14.25" x14ac:dyDescent="0.2">
      <c r="C209" s="35"/>
      <c r="D209" s="31"/>
      <c r="E209" s="31"/>
      <c r="G209" s="36"/>
      <c r="H209" s="37">
        <f t="shared" si="6"/>
        <v>4</v>
      </c>
      <c r="I209" s="38" t="str">
        <f t="shared" si="7"/>
        <v/>
      </c>
      <c r="K209" s="36"/>
    </row>
    <row r="210" spans="3:11" ht="14.25" x14ac:dyDescent="0.2">
      <c r="C210" s="35"/>
      <c r="D210" s="31"/>
      <c r="E210" s="31"/>
      <c r="G210" s="36"/>
      <c r="H210" s="37">
        <f t="shared" si="6"/>
        <v>4</v>
      </c>
      <c r="I210" s="38" t="str">
        <f t="shared" si="7"/>
        <v/>
      </c>
      <c r="K210" s="36"/>
    </row>
    <row r="211" spans="3:11" ht="14.25" x14ac:dyDescent="0.2">
      <c r="C211" s="35"/>
      <c r="D211" s="31"/>
      <c r="E211" s="31"/>
      <c r="G211" s="36"/>
      <c r="H211" s="37">
        <f t="shared" si="6"/>
        <v>4</v>
      </c>
      <c r="I211" s="38" t="str">
        <f t="shared" si="7"/>
        <v/>
      </c>
      <c r="K211" s="36"/>
    </row>
    <row r="212" spans="3:11" ht="14.25" x14ac:dyDescent="0.2">
      <c r="C212" s="35"/>
      <c r="D212" s="31"/>
      <c r="E212" s="31"/>
      <c r="G212" s="36"/>
      <c r="H212" s="37">
        <f t="shared" si="6"/>
        <v>4</v>
      </c>
      <c r="I212" s="38" t="str">
        <f t="shared" si="7"/>
        <v/>
      </c>
      <c r="K212" s="36"/>
    </row>
    <row r="213" spans="3:11" ht="14.25" x14ac:dyDescent="0.2">
      <c r="C213" s="35"/>
      <c r="D213" s="31"/>
      <c r="E213" s="31"/>
      <c r="G213" s="36"/>
      <c r="H213" s="37">
        <f t="shared" si="6"/>
        <v>4</v>
      </c>
      <c r="I213" s="38" t="str">
        <f t="shared" si="7"/>
        <v/>
      </c>
      <c r="K213" s="36"/>
    </row>
    <row r="214" spans="3:11" ht="14.25" x14ac:dyDescent="0.2">
      <c r="C214" s="35"/>
      <c r="D214" s="31"/>
      <c r="E214" s="31"/>
      <c r="G214" s="36"/>
      <c r="H214" s="37">
        <f t="shared" si="6"/>
        <v>4</v>
      </c>
      <c r="I214" s="38" t="str">
        <f t="shared" si="7"/>
        <v/>
      </c>
      <c r="K214" s="36"/>
    </row>
    <row r="215" spans="3:11" ht="14.25" x14ac:dyDescent="0.2">
      <c r="C215" s="35"/>
      <c r="D215" s="31"/>
      <c r="E215" s="31"/>
      <c r="G215" s="36"/>
      <c r="H215" s="37">
        <f t="shared" si="6"/>
        <v>4</v>
      </c>
      <c r="I215" s="38" t="str">
        <f t="shared" si="7"/>
        <v/>
      </c>
      <c r="K215" s="36"/>
    </row>
    <row r="216" spans="3:11" ht="14.25" x14ac:dyDescent="0.2">
      <c r="C216" s="35"/>
      <c r="D216" s="31"/>
      <c r="E216" s="31"/>
      <c r="G216" s="36"/>
      <c r="H216" s="37">
        <f t="shared" si="6"/>
        <v>4</v>
      </c>
      <c r="I216" s="38" t="str">
        <f t="shared" si="7"/>
        <v/>
      </c>
      <c r="K216" s="36"/>
    </row>
    <row r="217" spans="3:11" ht="14.25" x14ac:dyDescent="0.2">
      <c r="C217" s="35"/>
      <c r="D217" s="31"/>
      <c r="E217" s="31"/>
      <c r="G217" s="36"/>
      <c r="H217" s="37">
        <f t="shared" si="6"/>
        <v>4</v>
      </c>
      <c r="I217" s="38" t="str">
        <f t="shared" si="7"/>
        <v/>
      </c>
      <c r="K217" s="36"/>
    </row>
    <row r="218" spans="3:11" ht="14.25" x14ac:dyDescent="0.2">
      <c r="C218" s="35"/>
      <c r="D218" s="31"/>
      <c r="E218" s="31"/>
      <c r="G218" s="36"/>
      <c r="H218" s="37">
        <f t="shared" si="6"/>
        <v>4</v>
      </c>
      <c r="I218" s="38" t="str">
        <f t="shared" si="7"/>
        <v/>
      </c>
      <c r="K218" s="36"/>
    </row>
    <row r="219" spans="3:11" ht="14.25" x14ac:dyDescent="0.2">
      <c r="C219" s="35"/>
      <c r="D219" s="31"/>
      <c r="E219" s="31"/>
      <c r="G219" s="36"/>
      <c r="H219" s="37">
        <f t="shared" si="6"/>
        <v>4</v>
      </c>
      <c r="I219" s="38" t="str">
        <f t="shared" si="7"/>
        <v/>
      </c>
      <c r="K219" s="36"/>
    </row>
    <row r="220" spans="3:11" ht="14.25" x14ac:dyDescent="0.2">
      <c r="C220" s="35"/>
      <c r="D220" s="31"/>
      <c r="E220" s="31"/>
      <c r="G220" s="36"/>
      <c r="H220" s="37">
        <f t="shared" si="6"/>
        <v>4</v>
      </c>
      <c r="I220" s="38" t="str">
        <f t="shared" si="7"/>
        <v/>
      </c>
      <c r="K220" s="36"/>
    </row>
    <row r="221" spans="3:11" ht="14.25" x14ac:dyDescent="0.2">
      <c r="C221" s="35"/>
      <c r="D221" s="31"/>
      <c r="E221" s="31"/>
      <c r="G221" s="36"/>
      <c r="H221" s="37">
        <f t="shared" si="6"/>
        <v>4</v>
      </c>
      <c r="I221" s="38" t="str">
        <f t="shared" si="7"/>
        <v/>
      </c>
      <c r="K221" s="36"/>
    </row>
    <row r="222" spans="3:11" ht="14.25" x14ac:dyDescent="0.2">
      <c r="C222" s="35"/>
      <c r="D222" s="31"/>
      <c r="E222" s="31"/>
      <c r="G222" s="36"/>
      <c r="H222" s="37">
        <f t="shared" si="6"/>
        <v>4</v>
      </c>
      <c r="I222" s="38" t="str">
        <f t="shared" si="7"/>
        <v/>
      </c>
      <c r="K222" s="36"/>
    </row>
    <row r="223" spans="3:11" ht="14.25" x14ac:dyDescent="0.2">
      <c r="C223" s="35"/>
      <c r="D223" s="31"/>
      <c r="E223" s="31"/>
      <c r="G223" s="36"/>
      <c r="H223" s="37">
        <f t="shared" si="6"/>
        <v>4</v>
      </c>
      <c r="I223" s="38" t="str">
        <f t="shared" si="7"/>
        <v/>
      </c>
      <c r="K223" s="36"/>
    </row>
    <row r="224" spans="3:11" ht="14.25" x14ac:dyDescent="0.2">
      <c r="C224" s="35"/>
      <c r="D224" s="31"/>
      <c r="E224" s="31"/>
      <c r="G224" s="36"/>
      <c r="H224" s="37">
        <f t="shared" si="6"/>
        <v>4</v>
      </c>
      <c r="I224" s="38" t="str">
        <f t="shared" si="7"/>
        <v/>
      </c>
      <c r="K224" s="36"/>
    </row>
    <row r="225" spans="3:11" ht="14.25" x14ac:dyDescent="0.2">
      <c r="C225" s="35"/>
      <c r="D225" s="31"/>
      <c r="E225" s="31"/>
      <c r="G225" s="36"/>
      <c r="H225" s="37">
        <f t="shared" si="6"/>
        <v>4</v>
      </c>
      <c r="I225" s="38" t="str">
        <f t="shared" si="7"/>
        <v/>
      </c>
      <c r="K225" s="36"/>
    </row>
    <row r="226" spans="3:11" ht="14.25" x14ac:dyDescent="0.2">
      <c r="C226" s="35"/>
      <c r="D226" s="31"/>
      <c r="E226" s="31"/>
      <c r="G226" s="36"/>
      <c r="H226" s="37">
        <f t="shared" si="6"/>
        <v>4</v>
      </c>
      <c r="I226" s="38" t="str">
        <f t="shared" si="7"/>
        <v/>
      </c>
      <c r="K226" s="36"/>
    </row>
    <row r="227" spans="3:11" ht="14.25" x14ac:dyDescent="0.2">
      <c r="C227" s="35"/>
      <c r="D227" s="31"/>
      <c r="E227" s="31"/>
      <c r="G227" s="36"/>
      <c r="H227" s="37">
        <f t="shared" si="6"/>
        <v>4</v>
      </c>
      <c r="I227" s="38" t="str">
        <f t="shared" si="7"/>
        <v/>
      </c>
      <c r="K227" s="36"/>
    </row>
    <row r="228" spans="3:11" ht="14.25" x14ac:dyDescent="0.2">
      <c r="C228" s="35"/>
      <c r="D228" s="31"/>
      <c r="E228" s="31"/>
      <c r="G228" s="36"/>
      <c r="H228" s="37">
        <f t="shared" ref="H228:H291" si="8">H227-G228</f>
        <v>4</v>
      </c>
      <c r="I228" s="38" t="str">
        <f t="shared" si="7"/>
        <v/>
      </c>
      <c r="K228" s="36"/>
    </row>
    <row r="229" spans="3:11" ht="14.25" x14ac:dyDescent="0.2">
      <c r="C229" s="35"/>
      <c r="D229" s="31"/>
      <c r="E229" s="31"/>
      <c r="G229" s="36"/>
      <c r="H229" s="37">
        <f t="shared" si="8"/>
        <v>4</v>
      </c>
      <c r="I229" s="38" t="str">
        <f t="shared" si="7"/>
        <v/>
      </c>
      <c r="K229" s="36"/>
    </row>
    <row r="230" spans="3:11" ht="14.25" x14ac:dyDescent="0.2">
      <c r="C230" s="35"/>
      <c r="D230" s="31"/>
      <c r="E230" s="31"/>
      <c r="G230" s="36"/>
      <c r="H230" s="37">
        <f t="shared" si="8"/>
        <v>4</v>
      </c>
      <c r="I230" s="38" t="str">
        <f t="shared" si="7"/>
        <v/>
      </c>
      <c r="K230" s="36"/>
    </row>
    <row r="231" spans="3:11" ht="14.25" x14ac:dyDescent="0.2">
      <c r="C231" s="35"/>
      <c r="D231" s="31"/>
      <c r="E231" s="31"/>
      <c r="G231" s="36"/>
      <c r="H231" s="37">
        <f t="shared" si="8"/>
        <v>4</v>
      </c>
      <c r="I231" s="38" t="str">
        <f t="shared" si="7"/>
        <v/>
      </c>
      <c r="K231" s="36"/>
    </row>
    <row r="232" spans="3:11" ht="14.25" x14ac:dyDescent="0.2">
      <c r="C232" s="35"/>
      <c r="D232" s="31"/>
      <c r="E232" s="31"/>
      <c r="G232" s="36"/>
      <c r="H232" s="37">
        <f t="shared" si="8"/>
        <v>4</v>
      </c>
      <c r="I232" s="38" t="str">
        <f t="shared" si="7"/>
        <v/>
      </c>
      <c r="K232" s="36"/>
    </row>
    <row r="233" spans="3:11" ht="14.25" x14ac:dyDescent="0.2">
      <c r="C233" s="35"/>
      <c r="D233" s="31"/>
      <c r="E233" s="31"/>
      <c r="G233" s="36"/>
      <c r="H233" s="37">
        <f t="shared" si="8"/>
        <v>4</v>
      </c>
      <c r="I233" s="38" t="str">
        <f t="shared" si="7"/>
        <v/>
      </c>
      <c r="K233" s="36"/>
    </row>
    <row r="234" spans="3:11" ht="14.25" x14ac:dyDescent="0.2">
      <c r="C234" s="35"/>
      <c r="D234" s="31"/>
      <c r="E234" s="31"/>
      <c r="G234" s="36"/>
      <c r="H234" s="37">
        <f t="shared" si="8"/>
        <v>4</v>
      </c>
      <c r="I234" s="38" t="str">
        <f t="shared" si="7"/>
        <v/>
      </c>
      <c r="K234" s="36"/>
    </row>
    <row r="235" spans="3:11" ht="14.25" x14ac:dyDescent="0.2">
      <c r="C235" s="35"/>
      <c r="D235" s="31"/>
      <c r="E235" s="31"/>
      <c r="G235" s="36"/>
      <c r="H235" s="37">
        <f t="shared" si="8"/>
        <v>4</v>
      </c>
      <c r="I235" s="38" t="str">
        <f t="shared" si="7"/>
        <v/>
      </c>
      <c r="K235" s="36"/>
    </row>
    <row r="236" spans="3:11" ht="14.25" x14ac:dyDescent="0.2">
      <c r="C236" s="35"/>
      <c r="D236" s="31"/>
      <c r="E236" s="31"/>
      <c r="G236" s="36"/>
      <c r="H236" s="37">
        <f t="shared" si="8"/>
        <v>4</v>
      </c>
      <c r="I236" s="38" t="str">
        <f t="shared" si="7"/>
        <v/>
      </c>
      <c r="K236" s="36"/>
    </row>
    <row r="237" spans="3:11" ht="14.25" x14ac:dyDescent="0.2">
      <c r="C237" s="35"/>
      <c r="D237" s="31"/>
      <c r="E237" s="31"/>
      <c r="G237" s="36"/>
      <c r="H237" s="37">
        <f t="shared" si="8"/>
        <v>4</v>
      </c>
      <c r="I237" s="38" t="str">
        <f t="shared" si="7"/>
        <v/>
      </c>
      <c r="K237" s="36"/>
    </row>
    <row r="238" spans="3:11" ht="14.25" x14ac:dyDescent="0.2">
      <c r="C238" s="35"/>
      <c r="D238" s="31"/>
      <c r="E238" s="31"/>
      <c r="G238" s="36"/>
      <c r="H238" s="37">
        <f t="shared" si="8"/>
        <v>4</v>
      </c>
      <c r="I238" s="38" t="str">
        <f t="shared" si="7"/>
        <v/>
      </c>
      <c r="K238" s="36"/>
    </row>
    <row r="239" spans="3:11" ht="14.25" x14ac:dyDescent="0.2">
      <c r="C239" s="35"/>
      <c r="D239" s="31"/>
      <c r="E239" s="31"/>
      <c r="G239" s="36"/>
      <c r="H239" s="37">
        <f t="shared" si="8"/>
        <v>4</v>
      </c>
      <c r="I239" s="38" t="str">
        <f t="shared" si="7"/>
        <v/>
      </c>
      <c r="K239" s="36"/>
    </row>
    <row r="240" spans="3:11" ht="14.25" x14ac:dyDescent="0.2">
      <c r="C240" s="35"/>
      <c r="D240" s="31"/>
      <c r="E240" s="31"/>
      <c r="G240" s="36"/>
      <c r="H240" s="37">
        <f t="shared" si="8"/>
        <v>4</v>
      </c>
      <c r="I240" s="38" t="str">
        <f t="shared" si="7"/>
        <v/>
      </c>
      <c r="K240" s="36"/>
    </row>
    <row r="241" spans="3:11" ht="14.25" x14ac:dyDescent="0.2">
      <c r="C241" s="35"/>
      <c r="D241" s="31"/>
      <c r="E241" s="31"/>
      <c r="G241" s="36"/>
      <c r="H241" s="37">
        <f t="shared" si="8"/>
        <v>4</v>
      </c>
      <c r="I241" s="38" t="str">
        <f t="shared" si="7"/>
        <v/>
      </c>
      <c r="K241" s="36"/>
    </row>
    <row r="242" spans="3:11" ht="14.25" x14ac:dyDescent="0.2">
      <c r="C242" s="35"/>
      <c r="D242" s="31"/>
      <c r="E242" s="31"/>
      <c r="G242" s="36"/>
      <c r="H242" s="37">
        <f t="shared" si="8"/>
        <v>4</v>
      </c>
      <c r="I242" s="38" t="str">
        <f t="shared" si="7"/>
        <v/>
      </c>
      <c r="K242" s="36"/>
    </row>
    <row r="243" spans="3:11" ht="14.25" x14ac:dyDescent="0.2">
      <c r="C243" s="35"/>
      <c r="D243" s="31"/>
      <c r="E243" s="31"/>
      <c r="G243" s="36"/>
      <c r="H243" s="37">
        <f t="shared" si="8"/>
        <v>4</v>
      </c>
      <c r="I243" s="38" t="str">
        <f t="shared" si="7"/>
        <v/>
      </c>
      <c r="K243" s="36"/>
    </row>
    <row r="244" spans="3:11" ht="14.25" x14ac:dyDescent="0.2">
      <c r="C244" s="35"/>
      <c r="D244" s="31"/>
      <c r="E244" s="31"/>
      <c r="G244" s="36"/>
      <c r="H244" s="37">
        <f t="shared" si="8"/>
        <v>4</v>
      </c>
      <c r="I244" s="38" t="str">
        <f t="shared" si="7"/>
        <v/>
      </c>
      <c r="K244" s="36"/>
    </row>
    <row r="245" spans="3:11" ht="14.25" x14ac:dyDescent="0.2">
      <c r="C245" s="35"/>
      <c r="D245" s="31"/>
      <c r="E245" s="31"/>
      <c r="G245" s="36"/>
      <c r="H245" s="37">
        <f t="shared" si="8"/>
        <v>4</v>
      </c>
      <c r="I245" s="38" t="str">
        <f t="shared" si="7"/>
        <v/>
      </c>
      <c r="K245" s="36"/>
    </row>
    <row r="246" spans="3:11" ht="14.25" x14ac:dyDescent="0.2">
      <c r="C246" s="35"/>
      <c r="D246" s="31"/>
      <c r="E246" s="31"/>
      <c r="G246" s="36"/>
      <c r="H246" s="37">
        <f t="shared" si="8"/>
        <v>4</v>
      </c>
      <c r="I246" s="38" t="str">
        <f t="shared" si="7"/>
        <v/>
      </c>
      <c r="K246" s="36"/>
    </row>
    <row r="247" spans="3:11" ht="14.25" x14ac:dyDescent="0.2">
      <c r="C247" s="35"/>
      <c r="D247" s="31"/>
      <c r="E247" s="31"/>
      <c r="G247" s="36"/>
      <c r="H247" s="37">
        <f t="shared" si="8"/>
        <v>4</v>
      </c>
      <c r="I247" s="38" t="str">
        <f t="shared" si="7"/>
        <v/>
      </c>
      <c r="K247" s="36"/>
    </row>
    <row r="248" spans="3:11" ht="14.25" x14ac:dyDescent="0.2">
      <c r="C248" s="35"/>
      <c r="D248" s="31"/>
      <c r="E248" s="31"/>
      <c r="G248" s="36"/>
      <c r="H248" s="37">
        <f t="shared" si="8"/>
        <v>4</v>
      </c>
      <c r="I248" s="38" t="str">
        <f t="shared" si="7"/>
        <v/>
      </c>
      <c r="K248" s="36"/>
    </row>
    <row r="249" spans="3:11" ht="14.25" x14ac:dyDescent="0.2">
      <c r="C249" s="35"/>
      <c r="D249" s="31"/>
      <c r="E249" s="31"/>
      <c r="G249" s="36"/>
      <c r="H249" s="37">
        <f t="shared" si="8"/>
        <v>4</v>
      </c>
      <c r="I249" s="38" t="str">
        <f t="shared" si="7"/>
        <v/>
      </c>
      <c r="K249" s="36"/>
    </row>
    <row r="250" spans="3:11" ht="14.25" x14ac:dyDescent="0.2">
      <c r="C250" s="35"/>
      <c r="D250" s="31"/>
      <c r="E250" s="31"/>
      <c r="G250" s="36"/>
      <c r="H250" s="37">
        <f t="shared" si="8"/>
        <v>4</v>
      </c>
      <c r="I250" s="38" t="str">
        <f t="shared" si="7"/>
        <v/>
      </c>
      <c r="K250" s="36"/>
    </row>
    <row r="251" spans="3:11" ht="14.25" x14ac:dyDescent="0.2">
      <c r="C251" s="35"/>
      <c r="D251" s="31"/>
      <c r="E251" s="31"/>
      <c r="G251" s="36"/>
      <c r="H251" s="37">
        <f t="shared" si="8"/>
        <v>4</v>
      </c>
      <c r="I251" s="38" t="str">
        <f t="shared" si="7"/>
        <v/>
      </c>
      <c r="K251" s="36"/>
    </row>
    <row r="252" spans="3:11" ht="14.25" x14ac:dyDescent="0.2">
      <c r="C252" s="35"/>
      <c r="D252" s="31"/>
      <c r="E252" s="31"/>
      <c r="G252" s="36"/>
      <c r="H252" s="37">
        <f t="shared" si="8"/>
        <v>4</v>
      </c>
      <c r="I252" s="38" t="str">
        <f t="shared" si="7"/>
        <v/>
      </c>
      <c r="K252" s="36"/>
    </row>
    <row r="253" spans="3:11" ht="14.25" x14ac:dyDescent="0.2">
      <c r="C253" s="35"/>
      <c r="D253" s="31"/>
      <c r="E253" s="31"/>
      <c r="G253" s="36"/>
      <c r="H253" s="37">
        <f t="shared" si="8"/>
        <v>4</v>
      </c>
      <c r="I253" s="38" t="str">
        <f t="shared" si="7"/>
        <v/>
      </c>
      <c r="K253" s="36"/>
    </row>
    <row r="254" spans="3:11" ht="14.25" x14ac:dyDescent="0.2">
      <c r="C254" s="35"/>
      <c r="D254" s="31"/>
      <c r="E254" s="31"/>
      <c r="G254" s="36"/>
      <c r="H254" s="37">
        <f t="shared" si="8"/>
        <v>4</v>
      </c>
      <c r="I254" s="38" t="str">
        <f t="shared" si="7"/>
        <v/>
      </c>
      <c r="K254" s="36"/>
    </row>
    <row r="255" spans="3:11" ht="14.25" x14ac:dyDescent="0.2">
      <c r="C255" s="35"/>
      <c r="D255" s="31"/>
      <c r="E255" s="31"/>
      <c r="G255" s="36"/>
      <c r="H255" s="37">
        <f t="shared" si="8"/>
        <v>4</v>
      </c>
      <c r="I255" s="38" t="str">
        <f t="shared" si="7"/>
        <v/>
      </c>
      <c r="K255" s="36"/>
    </row>
    <row r="256" spans="3:11" ht="14.25" x14ac:dyDescent="0.2">
      <c r="C256" s="35"/>
      <c r="D256" s="31"/>
      <c r="E256" s="31"/>
      <c r="G256" s="36"/>
      <c r="H256" s="37">
        <f t="shared" si="8"/>
        <v>4</v>
      </c>
      <c r="I256" s="38" t="str">
        <f t="shared" si="7"/>
        <v/>
      </c>
      <c r="K256" s="36"/>
    </row>
    <row r="257" spans="3:11" ht="14.25" x14ac:dyDescent="0.2">
      <c r="C257" s="35"/>
      <c r="D257" s="31"/>
      <c r="E257" s="31"/>
      <c r="G257" s="36"/>
      <c r="H257" s="37">
        <f t="shared" si="8"/>
        <v>4</v>
      </c>
      <c r="I257" s="38" t="str">
        <f t="shared" si="7"/>
        <v/>
      </c>
      <c r="K257" s="36"/>
    </row>
    <row r="258" spans="3:11" ht="14.25" x14ac:dyDescent="0.2">
      <c r="C258" s="35"/>
      <c r="D258" s="31"/>
      <c r="E258" s="31"/>
      <c r="G258" s="36"/>
      <c r="H258" s="37">
        <f t="shared" si="8"/>
        <v>4</v>
      </c>
      <c r="I258" s="38" t="str">
        <f t="shared" si="7"/>
        <v/>
      </c>
      <c r="K258" s="36"/>
    </row>
    <row r="259" spans="3:11" ht="14.25" x14ac:dyDescent="0.2">
      <c r="C259" s="35"/>
      <c r="D259" s="31"/>
      <c r="E259" s="31"/>
      <c r="G259" s="36"/>
      <c r="H259" s="37">
        <f t="shared" si="8"/>
        <v>4</v>
      </c>
      <c r="I259" s="38" t="str">
        <f t="shared" si="7"/>
        <v/>
      </c>
      <c r="K259" s="36"/>
    </row>
    <row r="260" spans="3:11" ht="14.25" x14ac:dyDescent="0.2">
      <c r="C260" s="35"/>
      <c r="D260" s="31"/>
      <c r="E260" s="31"/>
      <c r="G260" s="36"/>
      <c r="H260" s="37">
        <f t="shared" si="8"/>
        <v>4</v>
      </c>
      <c r="I260" s="38" t="str">
        <f t="shared" si="7"/>
        <v/>
      </c>
      <c r="K260" s="36"/>
    </row>
    <row r="261" spans="3:11" ht="14.25" x14ac:dyDescent="0.2">
      <c r="C261" s="35"/>
      <c r="D261" s="31"/>
      <c r="E261" s="31"/>
      <c r="G261" s="36"/>
      <c r="H261" s="37">
        <f t="shared" si="8"/>
        <v>4</v>
      </c>
      <c r="I261" s="38" t="str">
        <f t="shared" si="7"/>
        <v/>
      </c>
      <c r="K261" s="36"/>
    </row>
    <row r="262" spans="3:11" ht="14.25" x14ac:dyDescent="0.2">
      <c r="C262" s="35"/>
      <c r="D262" s="31"/>
      <c r="E262" s="31"/>
      <c r="G262" s="36"/>
      <c r="H262" s="37">
        <f t="shared" si="8"/>
        <v>4</v>
      </c>
      <c r="I262" s="38" t="str">
        <f t="shared" si="7"/>
        <v/>
      </c>
      <c r="K262" s="36"/>
    </row>
    <row r="263" spans="3:11" ht="14.25" x14ac:dyDescent="0.2">
      <c r="C263" s="35"/>
      <c r="D263" s="31"/>
      <c r="E263" s="31"/>
      <c r="G263" s="36"/>
      <c r="H263" s="37">
        <f t="shared" si="8"/>
        <v>4</v>
      </c>
      <c r="I263" s="38" t="str">
        <f t="shared" ref="I263:I326" si="9">IF(C263="","",I262+IF(D263="Ingreso",H263,-H263))</f>
        <v/>
      </c>
      <c r="K263" s="36"/>
    </row>
    <row r="264" spans="3:11" ht="14.25" x14ac:dyDescent="0.2">
      <c r="C264" s="35"/>
      <c r="D264" s="31"/>
      <c r="E264" s="31"/>
      <c r="G264" s="36"/>
      <c r="H264" s="37">
        <f t="shared" si="8"/>
        <v>4</v>
      </c>
      <c r="I264" s="38" t="str">
        <f t="shared" si="9"/>
        <v/>
      </c>
      <c r="K264" s="36"/>
    </row>
    <row r="265" spans="3:11" ht="14.25" x14ac:dyDescent="0.2">
      <c r="C265" s="35"/>
      <c r="D265" s="31"/>
      <c r="E265" s="31"/>
      <c r="G265" s="36"/>
      <c r="H265" s="37">
        <f t="shared" si="8"/>
        <v>4</v>
      </c>
      <c r="I265" s="38" t="str">
        <f t="shared" si="9"/>
        <v/>
      </c>
      <c r="K265" s="36"/>
    </row>
    <row r="266" spans="3:11" ht="14.25" x14ac:dyDescent="0.2">
      <c r="C266" s="35"/>
      <c r="D266" s="31"/>
      <c r="E266" s="31"/>
      <c r="G266" s="36"/>
      <c r="H266" s="37">
        <f t="shared" si="8"/>
        <v>4</v>
      </c>
      <c r="I266" s="38" t="str">
        <f t="shared" si="9"/>
        <v/>
      </c>
      <c r="K266" s="36"/>
    </row>
    <row r="267" spans="3:11" ht="14.25" x14ac:dyDescent="0.2">
      <c r="C267" s="35"/>
      <c r="D267" s="31"/>
      <c r="E267" s="31"/>
      <c r="G267" s="36"/>
      <c r="H267" s="37">
        <f t="shared" si="8"/>
        <v>4</v>
      </c>
      <c r="I267" s="38" t="str">
        <f t="shared" si="9"/>
        <v/>
      </c>
      <c r="K267" s="36"/>
    </row>
    <row r="268" spans="3:11" ht="14.25" x14ac:dyDescent="0.2">
      <c r="C268" s="35"/>
      <c r="D268" s="31"/>
      <c r="E268" s="31"/>
      <c r="G268" s="36"/>
      <c r="H268" s="37">
        <f t="shared" si="8"/>
        <v>4</v>
      </c>
      <c r="I268" s="38" t="str">
        <f t="shared" si="9"/>
        <v/>
      </c>
      <c r="K268" s="36"/>
    </row>
    <row r="269" spans="3:11" ht="14.25" x14ac:dyDescent="0.2">
      <c r="C269" s="35"/>
      <c r="D269" s="31"/>
      <c r="E269" s="31"/>
      <c r="G269" s="36"/>
      <c r="H269" s="37">
        <f t="shared" si="8"/>
        <v>4</v>
      </c>
      <c r="I269" s="38" t="str">
        <f t="shared" si="9"/>
        <v/>
      </c>
      <c r="K269" s="36"/>
    </row>
    <row r="270" spans="3:11" ht="14.25" x14ac:dyDescent="0.2">
      <c r="C270" s="35"/>
      <c r="D270" s="31"/>
      <c r="E270" s="31"/>
      <c r="G270" s="36"/>
      <c r="H270" s="37">
        <f t="shared" si="8"/>
        <v>4</v>
      </c>
      <c r="I270" s="38" t="str">
        <f t="shared" si="9"/>
        <v/>
      </c>
      <c r="K270" s="36"/>
    </row>
    <row r="271" spans="3:11" ht="14.25" x14ac:dyDescent="0.2">
      <c r="C271" s="35"/>
      <c r="D271" s="31"/>
      <c r="E271" s="31"/>
      <c r="G271" s="36"/>
      <c r="H271" s="37">
        <f t="shared" si="8"/>
        <v>4</v>
      </c>
      <c r="I271" s="38" t="str">
        <f t="shared" si="9"/>
        <v/>
      </c>
      <c r="K271" s="36"/>
    </row>
    <row r="272" spans="3:11" ht="14.25" x14ac:dyDescent="0.2">
      <c r="C272" s="35"/>
      <c r="D272" s="31"/>
      <c r="E272" s="31"/>
      <c r="G272" s="36"/>
      <c r="H272" s="37">
        <f t="shared" si="8"/>
        <v>4</v>
      </c>
      <c r="I272" s="38" t="str">
        <f t="shared" si="9"/>
        <v/>
      </c>
      <c r="K272" s="36"/>
    </row>
    <row r="273" spans="3:11" ht="14.25" x14ac:dyDescent="0.2">
      <c r="C273" s="35"/>
      <c r="D273" s="31"/>
      <c r="E273" s="31"/>
      <c r="G273" s="36"/>
      <c r="H273" s="37">
        <f t="shared" si="8"/>
        <v>4</v>
      </c>
      <c r="I273" s="38" t="str">
        <f t="shared" si="9"/>
        <v/>
      </c>
      <c r="K273" s="36"/>
    </row>
    <row r="274" spans="3:11" ht="14.25" x14ac:dyDescent="0.2">
      <c r="C274" s="35"/>
      <c r="D274" s="31"/>
      <c r="E274" s="31"/>
      <c r="G274" s="36"/>
      <c r="H274" s="37">
        <f t="shared" si="8"/>
        <v>4</v>
      </c>
      <c r="I274" s="38" t="str">
        <f t="shared" si="9"/>
        <v/>
      </c>
      <c r="K274" s="36"/>
    </row>
    <row r="275" spans="3:11" ht="14.25" x14ac:dyDescent="0.2">
      <c r="C275" s="35"/>
      <c r="D275" s="31"/>
      <c r="E275" s="31"/>
      <c r="G275" s="36"/>
      <c r="H275" s="37">
        <f t="shared" si="8"/>
        <v>4</v>
      </c>
      <c r="I275" s="38" t="str">
        <f t="shared" si="9"/>
        <v/>
      </c>
      <c r="K275" s="36"/>
    </row>
    <row r="276" spans="3:11" ht="14.25" x14ac:dyDescent="0.2">
      <c r="C276" s="35"/>
      <c r="D276" s="31"/>
      <c r="E276" s="31"/>
      <c r="G276" s="36"/>
      <c r="H276" s="37">
        <f t="shared" si="8"/>
        <v>4</v>
      </c>
      <c r="I276" s="38" t="str">
        <f t="shared" si="9"/>
        <v/>
      </c>
      <c r="K276" s="36"/>
    </row>
    <row r="277" spans="3:11" ht="14.25" x14ac:dyDescent="0.2">
      <c r="C277" s="35"/>
      <c r="D277" s="31"/>
      <c r="E277" s="31"/>
      <c r="G277" s="36"/>
      <c r="H277" s="37">
        <f t="shared" si="8"/>
        <v>4</v>
      </c>
      <c r="I277" s="38" t="str">
        <f t="shared" si="9"/>
        <v/>
      </c>
      <c r="K277" s="36"/>
    </row>
    <row r="278" spans="3:11" ht="14.25" x14ac:dyDescent="0.2">
      <c r="C278" s="35"/>
      <c r="D278" s="31"/>
      <c r="E278" s="31"/>
      <c r="G278" s="36"/>
      <c r="H278" s="37">
        <f t="shared" si="8"/>
        <v>4</v>
      </c>
      <c r="I278" s="38" t="str">
        <f t="shared" si="9"/>
        <v/>
      </c>
      <c r="K278" s="36"/>
    </row>
    <row r="279" spans="3:11" ht="14.25" x14ac:dyDescent="0.2">
      <c r="C279" s="35"/>
      <c r="D279" s="31"/>
      <c r="E279" s="31"/>
      <c r="G279" s="36"/>
      <c r="H279" s="37">
        <f t="shared" si="8"/>
        <v>4</v>
      </c>
      <c r="I279" s="38" t="str">
        <f t="shared" si="9"/>
        <v/>
      </c>
      <c r="K279" s="36"/>
    </row>
    <row r="280" spans="3:11" ht="14.25" x14ac:dyDescent="0.2">
      <c r="C280" s="35"/>
      <c r="D280" s="31"/>
      <c r="E280" s="31"/>
      <c r="G280" s="36"/>
      <c r="H280" s="37">
        <f t="shared" si="8"/>
        <v>4</v>
      </c>
      <c r="I280" s="38" t="str">
        <f t="shared" si="9"/>
        <v/>
      </c>
      <c r="K280" s="36"/>
    </row>
    <row r="281" spans="3:11" ht="14.25" x14ac:dyDescent="0.2">
      <c r="C281" s="35"/>
      <c r="D281" s="31"/>
      <c r="E281" s="31"/>
      <c r="G281" s="36"/>
      <c r="H281" s="37">
        <f t="shared" si="8"/>
        <v>4</v>
      </c>
      <c r="I281" s="38" t="str">
        <f t="shared" si="9"/>
        <v/>
      </c>
      <c r="K281" s="36"/>
    </row>
    <row r="282" spans="3:11" ht="14.25" x14ac:dyDescent="0.2">
      <c r="C282" s="35"/>
      <c r="D282" s="31"/>
      <c r="E282" s="31"/>
      <c r="G282" s="36"/>
      <c r="H282" s="37">
        <f t="shared" si="8"/>
        <v>4</v>
      </c>
      <c r="I282" s="38" t="str">
        <f t="shared" si="9"/>
        <v/>
      </c>
      <c r="K282" s="36"/>
    </row>
    <row r="283" spans="3:11" ht="14.25" x14ac:dyDescent="0.2">
      <c r="C283" s="35"/>
      <c r="D283" s="31"/>
      <c r="E283" s="31"/>
      <c r="G283" s="36"/>
      <c r="H283" s="37">
        <f t="shared" si="8"/>
        <v>4</v>
      </c>
      <c r="I283" s="38" t="str">
        <f t="shared" si="9"/>
        <v/>
      </c>
      <c r="K283" s="36"/>
    </row>
    <row r="284" spans="3:11" ht="14.25" x14ac:dyDescent="0.2">
      <c r="C284" s="35"/>
      <c r="D284" s="31"/>
      <c r="E284" s="31"/>
      <c r="G284" s="36"/>
      <c r="H284" s="37">
        <f t="shared" si="8"/>
        <v>4</v>
      </c>
      <c r="I284" s="38" t="str">
        <f t="shared" si="9"/>
        <v/>
      </c>
      <c r="K284" s="36"/>
    </row>
    <row r="285" spans="3:11" ht="14.25" x14ac:dyDescent="0.2">
      <c r="C285" s="35"/>
      <c r="D285" s="31"/>
      <c r="E285" s="31"/>
      <c r="G285" s="36"/>
      <c r="H285" s="37">
        <f t="shared" si="8"/>
        <v>4</v>
      </c>
      <c r="I285" s="38" t="str">
        <f t="shared" si="9"/>
        <v/>
      </c>
      <c r="K285" s="36"/>
    </row>
    <row r="286" spans="3:11" ht="14.25" x14ac:dyDescent="0.2">
      <c r="C286" s="35"/>
      <c r="D286" s="31"/>
      <c r="E286" s="31"/>
      <c r="G286" s="36"/>
      <c r="H286" s="37">
        <f t="shared" si="8"/>
        <v>4</v>
      </c>
      <c r="I286" s="38" t="str">
        <f t="shared" si="9"/>
        <v/>
      </c>
      <c r="K286" s="36"/>
    </row>
    <row r="287" spans="3:11" ht="14.25" x14ac:dyDescent="0.2">
      <c r="C287" s="35"/>
      <c r="D287" s="31"/>
      <c r="E287" s="31"/>
      <c r="G287" s="36"/>
      <c r="H287" s="37">
        <f t="shared" si="8"/>
        <v>4</v>
      </c>
      <c r="I287" s="38" t="str">
        <f t="shared" si="9"/>
        <v/>
      </c>
      <c r="K287" s="36"/>
    </row>
    <row r="288" spans="3:11" ht="14.25" x14ac:dyDescent="0.2">
      <c r="C288" s="35"/>
      <c r="D288" s="31"/>
      <c r="E288" s="31"/>
      <c r="G288" s="36"/>
      <c r="H288" s="37">
        <f t="shared" si="8"/>
        <v>4</v>
      </c>
      <c r="I288" s="38" t="str">
        <f t="shared" si="9"/>
        <v/>
      </c>
      <c r="K288" s="36"/>
    </row>
    <row r="289" spans="3:11" ht="14.25" x14ac:dyDescent="0.2">
      <c r="C289" s="35"/>
      <c r="D289" s="31"/>
      <c r="E289" s="31"/>
      <c r="G289" s="36"/>
      <c r="H289" s="37">
        <f t="shared" si="8"/>
        <v>4</v>
      </c>
      <c r="I289" s="38" t="str">
        <f t="shared" si="9"/>
        <v/>
      </c>
      <c r="K289" s="36"/>
    </row>
    <row r="290" spans="3:11" ht="14.25" x14ac:dyDescent="0.2">
      <c r="C290" s="35"/>
      <c r="D290" s="31"/>
      <c r="E290" s="31"/>
      <c r="G290" s="36"/>
      <c r="H290" s="37">
        <f t="shared" si="8"/>
        <v>4</v>
      </c>
      <c r="I290" s="38" t="str">
        <f t="shared" si="9"/>
        <v/>
      </c>
      <c r="K290" s="36"/>
    </row>
    <row r="291" spans="3:11" ht="14.25" x14ac:dyDescent="0.2">
      <c r="C291" s="35"/>
      <c r="D291" s="31"/>
      <c r="E291" s="31"/>
      <c r="G291" s="36"/>
      <c r="H291" s="37">
        <f t="shared" si="8"/>
        <v>4</v>
      </c>
      <c r="I291" s="38" t="str">
        <f t="shared" si="9"/>
        <v/>
      </c>
      <c r="K291" s="36"/>
    </row>
    <row r="292" spans="3:11" ht="14.25" x14ac:dyDescent="0.2">
      <c r="C292" s="35"/>
      <c r="D292" s="31"/>
      <c r="E292" s="31"/>
      <c r="G292" s="36"/>
      <c r="H292" s="37">
        <f t="shared" ref="H292:H355" si="10">H291-G292</f>
        <v>4</v>
      </c>
      <c r="I292" s="38" t="str">
        <f t="shared" si="9"/>
        <v/>
      </c>
      <c r="K292" s="36"/>
    </row>
    <row r="293" spans="3:11" ht="14.25" x14ac:dyDescent="0.2">
      <c r="C293" s="35"/>
      <c r="D293" s="31"/>
      <c r="E293" s="31"/>
      <c r="G293" s="36"/>
      <c r="H293" s="37">
        <f t="shared" si="10"/>
        <v>4</v>
      </c>
      <c r="I293" s="38" t="str">
        <f t="shared" si="9"/>
        <v/>
      </c>
      <c r="K293" s="36"/>
    </row>
    <row r="294" spans="3:11" ht="14.25" x14ac:dyDescent="0.2">
      <c r="C294" s="35"/>
      <c r="D294" s="31"/>
      <c r="E294" s="31"/>
      <c r="G294" s="36"/>
      <c r="H294" s="37">
        <f t="shared" si="10"/>
        <v>4</v>
      </c>
      <c r="I294" s="38" t="str">
        <f t="shared" si="9"/>
        <v/>
      </c>
      <c r="K294" s="36"/>
    </row>
    <row r="295" spans="3:11" ht="14.25" x14ac:dyDescent="0.2">
      <c r="C295" s="35"/>
      <c r="D295" s="31"/>
      <c r="E295" s="31"/>
      <c r="G295" s="36"/>
      <c r="H295" s="37">
        <f t="shared" si="10"/>
        <v>4</v>
      </c>
      <c r="I295" s="38" t="str">
        <f t="shared" si="9"/>
        <v/>
      </c>
      <c r="K295" s="36"/>
    </row>
    <row r="296" spans="3:11" ht="14.25" x14ac:dyDescent="0.2">
      <c r="C296" s="35"/>
      <c r="D296" s="31"/>
      <c r="E296" s="31"/>
      <c r="G296" s="36"/>
      <c r="H296" s="37">
        <f t="shared" si="10"/>
        <v>4</v>
      </c>
      <c r="I296" s="38" t="str">
        <f t="shared" si="9"/>
        <v/>
      </c>
      <c r="K296" s="36"/>
    </row>
    <row r="297" spans="3:11" ht="14.25" x14ac:dyDescent="0.2">
      <c r="C297" s="35"/>
      <c r="D297" s="31"/>
      <c r="E297" s="31"/>
      <c r="G297" s="36"/>
      <c r="H297" s="37">
        <f t="shared" si="10"/>
        <v>4</v>
      </c>
      <c r="I297" s="38" t="str">
        <f t="shared" si="9"/>
        <v/>
      </c>
      <c r="K297" s="36"/>
    </row>
    <row r="298" spans="3:11" ht="14.25" x14ac:dyDescent="0.2">
      <c r="C298" s="35"/>
      <c r="D298" s="31"/>
      <c r="E298" s="31"/>
      <c r="G298" s="36"/>
      <c r="H298" s="37">
        <f t="shared" si="10"/>
        <v>4</v>
      </c>
      <c r="I298" s="38" t="str">
        <f t="shared" si="9"/>
        <v/>
      </c>
      <c r="K298" s="36"/>
    </row>
    <row r="299" spans="3:11" ht="14.25" x14ac:dyDescent="0.2">
      <c r="C299" s="35"/>
      <c r="D299" s="31"/>
      <c r="E299" s="31"/>
      <c r="G299" s="36"/>
      <c r="H299" s="37">
        <f t="shared" si="10"/>
        <v>4</v>
      </c>
      <c r="I299" s="38" t="str">
        <f t="shared" si="9"/>
        <v/>
      </c>
      <c r="K299" s="36"/>
    </row>
    <row r="300" spans="3:11" ht="14.25" x14ac:dyDescent="0.2">
      <c r="C300" s="35"/>
      <c r="D300" s="31"/>
      <c r="E300" s="31"/>
      <c r="G300" s="36"/>
      <c r="H300" s="37">
        <f t="shared" si="10"/>
        <v>4</v>
      </c>
      <c r="I300" s="38" t="str">
        <f t="shared" si="9"/>
        <v/>
      </c>
      <c r="K300" s="36"/>
    </row>
    <row r="301" spans="3:11" ht="14.25" x14ac:dyDescent="0.2">
      <c r="C301" s="35"/>
      <c r="D301" s="31"/>
      <c r="E301" s="31"/>
      <c r="G301" s="36"/>
      <c r="H301" s="37">
        <f t="shared" si="10"/>
        <v>4</v>
      </c>
      <c r="I301" s="38" t="str">
        <f t="shared" si="9"/>
        <v/>
      </c>
      <c r="K301" s="36"/>
    </row>
    <row r="302" spans="3:11" ht="14.25" x14ac:dyDescent="0.2">
      <c r="C302" s="35"/>
      <c r="D302" s="31"/>
      <c r="E302" s="31"/>
      <c r="G302" s="36"/>
      <c r="H302" s="37">
        <f t="shared" si="10"/>
        <v>4</v>
      </c>
      <c r="I302" s="38" t="str">
        <f t="shared" si="9"/>
        <v/>
      </c>
      <c r="K302" s="36"/>
    </row>
    <row r="303" spans="3:11" ht="14.25" x14ac:dyDescent="0.2">
      <c r="C303" s="35"/>
      <c r="D303" s="31"/>
      <c r="E303" s="31"/>
      <c r="G303" s="36"/>
      <c r="H303" s="37">
        <f t="shared" si="10"/>
        <v>4</v>
      </c>
      <c r="I303" s="38" t="str">
        <f t="shared" si="9"/>
        <v/>
      </c>
      <c r="K303" s="36"/>
    </row>
    <row r="304" spans="3:11" ht="14.25" x14ac:dyDescent="0.2">
      <c r="C304" s="35"/>
      <c r="D304" s="31"/>
      <c r="E304" s="31"/>
      <c r="G304" s="36"/>
      <c r="H304" s="37">
        <f t="shared" si="10"/>
        <v>4</v>
      </c>
      <c r="I304" s="38" t="str">
        <f t="shared" si="9"/>
        <v/>
      </c>
      <c r="K304" s="36"/>
    </row>
    <row r="305" spans="3:11" ht="14.25" x14ac:dyDescent="0.2">
      <c r="C305" s="35"/>
      <c r="D305" s="31"/>
      <c r="E305" s="31"/>
      <c r="G305" s="36"/>
      <c r="H305" s="37">
        <f t="shared" si="10"/>
        <v>4</v>
      </c>
      <c r="I305" s="38" t="str">
        <f t="shared" si="9"/>
        <v/>
      </c>
      <c r="K305" s="36"/>
    </row>
    <row r="306" spans="3:11" ht="14.25" x14ac:dyDescent="0.2">
      <c r="C306" s="35"/>
      <c r="D306" s="31"/>
      <c r="E306" s="31"/>
      <c r="G306" s="36"/>
      <c r="H306" s="37">
        <f t="shared" si="10"/>
        <v>4</v>
      </c>
      <c r="I306" s="38" t="str">
        <f t="shared" si="9"/>
        <v/>
      </c>
      <c r="K306" s="36"/>
    </row>
    <row r="307" spans="3:11" ht="14.25" x14ac:dyDescent="0.2">
      <c r="C307" s="35"/>
      <c r="D307" s="31"/>
      <c r="E307" s="31"/>
      <c r="G307" s="36"/>
      <c r="H307" s="37">
        <f t="shared" si="10"/>
        <v>4</v>
      </c>
      <c r="I307" s="38" t="str">
        <f t="shared" si="9"/>
        <v/>
      </c>
      <c r="K307" s="36"/>
    </row>
    <row r="308" spans="3:11" ht="14.25" x14ac:dyDescent="0.2">
      <c r="C308" s="35"/>
      <c r="D308" s="31"/>
      <c r="E308" s="31"/>
      <c r="G308" s="36"/>
      <c r="H308" s="37">
        <f t="shared" si="10"/>
        <v>4</v>
      </c>
      <c r="I308" s="38" t="str">
        <f t="shared" si="9"/>
        <v/>
      </c>
      <c r="K308" s="36"/>
    </row>
    <row r="309" spans="3:11" ht="14.25" x14ac:dyDescent="0.2">
      <c r="C309" s="35"/>
      <c r="D309" s="31"/>
      <c r="E309" s="31"/>
      <c r="G309" s="36"/>
      <c r="H309" s="37">
        <f t="shared" si="10"/>
        <v>4</v>
      </c>
      <c r="I309" s="38" t="str">
        <f t="shared" si="9"/>
        <v/>
      </c>
      <c r="K309" s="36"/>
    </row>
    <row r="310" spans="3:11" ht="14.25" x14ac:dyDescent="0.2">
      <c r="C310" s="35"/>
      <c r="D310" s="31"/>
      <c r="E310" s="31"/>
      <c r="G310" s="36"/>
      <c r="H310" s="37">
        <f t="shared" si="10"/>
        <v>4</v>
      </c>
      <c r="I310" s="38" t="str">
        <f t="shared" si="9"/>
        <v/>
      </c>
      <c r="K310" s="36"/>
    </row>
    <row r="311" spans="3:11" ht="14.25" x14ac:dyDescent="0.2">
      <c r="C311" s="35"/>
      <c r="D311" s="31"/>
      <c r="E311" s="31"/>
      <c r="G311" s="36"/>
      <c r="H311" s="37">
        <f t="shared" si="10"/>
        <v>4</v>
      </c>
      <c r="I311" s="38" t="str">
        <f t="shared" si="9"/>
        <v/>
      </c>
      <c r="K311" s="36"/>
    </row>
    <row r="312" spans="3:11" ht="14.25" x14ac:dyDescent="0.2">
      <c r="C312" s="35"/>
      <c r="D312" s="31"/>
      <c r="E312" s="31"/>
      <c r="G312" s="36"/>
      <c r="H312" s="37">
        <f t="shared" si="10"/>
        <v>4</v>
      </c>
      <c r="I312" s="38" t="str">
        <f t="shared" si="9"/>
        <v/>
      </c>
      <c r="K312" s="36"/>
    </row>
    <row r="313" spans="3:11" ht="14.25" x14ac:dyDescent="0.2">
      <c r="C313" s="35"/>
      <c r="D313" s="31"/>
      <c r="E313" s="31"/>
      <c r="G313" s="36"/>
      <c r="H313" s="37">
        <f t="shared" si="10"/>
        <v>4</v>
      </c>
      <c r="I313" s="38" t="str">
        <f t="shared" si="9"/>
        <v/>
      </c>
      <c r="K313" s="36"/>
    </row>
    <row r="314" spans="3:11" ht="14.25" x14ac:dyDescent="0.2">
      <c r="C314" s="35"/>
      <c r="D314" s="31"/>
      <c r="E314" s="31"/>
      <c r="G314" s="36"/>
      <c r="H314" s="37">
        <f t="shared" si="10"/>
        <v>4</v>
      </c>
      <c r="I314" s="38" t="str">
        <f t="shared" si="9"/>
        <v/>
      </c>
      <c r="K314" s="36"/>
    </row>
    <row r="315" spans="3:11" ht="14.25" x14ac:dyDescent="0.2">
      <c r="C315" s="35"/>
      <c r="D315" s="31"/>
      <c r="E315" s="31"/>
      <c r="G315" s="36"/>
      <c r="H315" s="37">
        <f t="shared" si="10"/>
        <v>4</v>
      </c>
      <c r="I315" s="38" t="str">
        <f t="shared" si="9"/>
        <v/>
      </c>
      <c r="K315" s="36"/>
    </row>
    <row r="316" spans="3:11" ht="14.25" x14ac:dyDescent="0.2">
      <c r="C316" s="35"/>
      <c r="D316" s="31"/>
      <c r="E316" s="31"/>
      <c r="G316" s="36"/>
      <c r="H316" s="37">
        <f t="shared" si="10"/>
        <v>4</v>
      </c>
      <c r="I316" s="38" t="str">
        <f t="shared" si="9"/>
        <v/>
      </c>
      <c r="K316" s="36"/>
    </row>
    <row r="317" spans="3:11" ht="14.25" x14ac:dyDescent="0.2">
      <c r="C317" s="35"/>
      <c r="D317" s="31"/>
      <c r="E317" s="31"/>
      <c r="G317" s="36"/>
      <c r="H317" s="37">
        <f t="shared" si="10"/>
        <v>4</v>
      </c>
      <c r="I317" s="38" t="str">
        <f t="shared" si="9"/>
        <v/>
      </c>
      <c r="K317" s="36"/>
    </row>
    <row r="318" spans="3:11" ht="14.25" x14ac:dyDescent="0.2">
      <c r="C318" s="35"/>
      <c r="D318" s="31"/>
      <c r="E318" s="31"/>
      <c r="G318" s="36"/>
      <c r="H318" s="37">
        <f t="shared" si="10"/>
        <v>4</v>
      </c>
      <c r="I318" s="38" t="str">
        <f t="shared" si="9"/>
        <v/>
      </c>
      <c r="K318" s="36"/>
    </row>
    <row r="319" spans="3:11" ht="14.25" x14ac:dyDescent="0.2">
      <c r="C319" s="35"/>
      <c r="D319" s="31"/>
      <c r="E319" s="31"/>
      <c r="G319" s="36"/>
      <c r="H319" s="37">
        <f t="shared" si="10"/>
        <v>4</v>
      </c>
      <c r="I319" s="38" t="str">
        <f t="shared" si="9"/>
        <v/>
      </c>
      <c r="K319" s="36"/>
    </row>
    <row r="320" spans="3:11" ht="14.25" x14ac:dyDescent="0.2">
      <c r="C320" s="35"/>
      <c r="D320" s="31"/>
      <c r="E320" s="31"/>
      <c r="G320" s="36"/>
      <c r="H320" s="37">
        <f t="shared" si="10"/>
        <v>4</v>
      </c>
      <c r="I320" s="38" t="str">
        <f t="shared" si="9"/>
        <v/>
      </c>
      <c r="K320" s="36"/>
    </row>
    <row r="321" spans="3:11" ht="14.25" x14ac:dyDescent="0.2">
      <c r="C321" s="35"/>
      <c r="D321" s="31"/>
      <c r="E321" s="31"/>
      <c r="G321" s="36"/>
      <c r="H321" s="37">
        <f t="shared" si="10"/>
        <v>4</v>
      </c>
      <c r="I321" s="38" t="str">
        <f t="shared" si="9"/>
        <v/>
      </c>
      <c r="K321" s="36"/>
    </row>
    <row r="322" spans="3:11" ht="14.25" x14ac:dyDescent="0.2">
      <c r="C322" s="35"/>
      <c r="D322" s="31"/>
      <c r="E322" s="31"/>
      <c r="G322" s="36"/>
      <c r="H322" s="37">
        <f t="shared" si="10"/>
        <v>4</v>
      </c>
      <c r="I322" s="38" t="str">
        <f t="shared" si="9"/>
        <v/>
      </c>
      <c r="K322" s="36"/>
    </row>
    <row r="323" spans="3:11" ht="14.25" x14ac:dyDescent="0.2">
      <c r="C323" s="35"/>
      <c r="D323" s="31"/>
      <c r="E323" s="31"/>
      <c r="G323" s="36"/>
      <c r="H323" s="37">
        <f t="shared" si="10"/>
        <v>4</v>
      </c>
      <c r="I323" s="38" t="str">
        <f t="shared" si="9"/>
        <v/>
      </c>
      <c r="K323" s="36"/>
    </row>
    <row r="324" spans="3:11" ht="14.25" x14ac:dyDescent="0.2">
      <c r="C324" s="35"/>
      <c r="D324" s="31"/>
      <c r="E324" s="31"/>
      <c r="G324" s="36"/>
      <c r="H324" s="37">
        <f t="shared" si="10"/>
        <v>4</v>
      </c>
      <c r="I324" s="38" t="str">
        <f t="shared" si="9"/>
        <v/>
      </c>
      <c r="K324" s="36"/>
    </row>
    <row r="325" spans="3:11" ht="14.25" x14ac:dyDescent="0.2">
      <c r="C325" s="35"/>
      <c r="D325" s="31"/>
      <c r="E325" s="31"/>
      <c r="G325" s="36"/>
      <c r="H325" s="37">
        <f t="shared" si="10"/>
        <v>4</v>
      </c>
      <c r="I325" s="38" t="str">
        <f t="shared" si="9"/>
        <v/>
      </c>
      <c r="K325" s="36"/>
    </row>
    <row r="326" spans="3:11" ht="14.25" x14ac:dyDescent="0.2">
      <c r="C326" s="35"/>
      <c r="D326" s="31"/>
      <c r="E326" s="31"/>
      <c r="G326" s="36"/>
      <c r="H326" s="37">
        <f t="shared" si="10"/>
        <v>4</v>
      </c>
      <c r="I326" s="38" t="str">
        <f t="shared" si="9"/>
        <v/>
      </c>
      <c r="K326" s="36"/>
    </row>
    <row r="327" spans="3:11" ht="14.25" x14ac:dyDescent="0.2">
      <c r="C327" s="35"/>
      <c r="D327" s="31"/>
      <c r="E327" s="31"/>
      <c r="G327" s="36"/>
      <c r="H327" s="37">
        <f t="shared" si="10"/>
        <v>4</v>
      </c>
      <c r="I327" s="38" t="str">
        <f t="shared" ref="I327:I390" si="11">IF(C327="","",I326+IF(D327="Ingreso",H327,-H327))</f>
        <v/>
      </c>
      <c r="K327" s="36"/>
    </row>
    <row r="328" spans="3:11" ht="14.25" x14ac:dyDescent="0.2">
      <c r="C328" s="35"/>
      <c r="D328" s="31"/>
      <c r="E328" s="31"/>
      <c r="G328" s="36"/>
      <c r="H328" s="37">
        <f t="shared" si="10"/>
        <v>4</v>
      </c>
      <c r="I328" s="38" t="str">
        <f t="shared" si="11"/>
        <v/>
      </c>
      <c r="K328" s="36"/>
    </row>
    <row r="329" spans="3:11" ht="14.25" x14ac:dyDescent="0.2">
      <c r="C329" s="35"/>
      <c r="D329" s="31"/>
      <c r="E329" s="31"/>
      <c r="G329" s="36"/>
      <c r="H329" s="37">
        <f t="shared" si="10"/>
        <v>4</v>
      </c>
      <c r="I329" s="38" t="str">
        <f t="shared" si="11"/>
        <v/>
      </c>
      <c r="K329" s="36"/>
    </row>
    <row r="330" spans="3:11" ht="14.25" x14ac:dyDescent="0.2">
      <c r="C330" s="35"/>
      <c r="D330" s="31"/>
      <c r="E330" s="31"/>
      <c r="G330" s="36"/>
      <c r="H330" s="37">
        <f t="shared" si="10"/>
        <v>4</v>
      </c>
      <c r="I330" s="38" t="str">
        <f t="shared" si="11"/>
        <v/>
      </c>
      <c r="K330" s="36"/>
    </row>
    <row r="331" spans="3:11" ht="14.25" x14ac:dyDescent="0.2">
      <c r="C331" s="35"/>
      <c r="D331" s="31"/>
      <c r="E331" s="31"/>
      <c r="G331" s="36"/>
      <c r="H331" s="37">
        <f t="shared" si="10"/>
        <v>4</v>
      </c>
      <c r="I331" s="38" t="str">
        <f t="shared" si="11"/>
        <v/>
      </c>
      <c r="K331" s="36"/>
    </row>
    <row r="332" spans="3:11" ht="14.25" x14ac:dyDescent="0.2">
      <c r="C332" s="35"/>
      <c r="D332" s="31"/>
      <c r="E332" s="31"/>
      <c r="G332" s="36"/>
      <c r="H332" s="37">
        <f t="shared" si="10"/>
        <v>4</v>
      </c>
      <c r="I332" s="38" t="str">
        <f t="shared" si="11"/>
        <v/>
      </c>
      <c r="K332" s="36"/>
    </row>
    <row r="333" spans="3:11" ht="14.25" x14ac:dyDescent="0.2">
      <c r="C333" s="35"/>
      <c r="D333" s="31"/>
      <c r="E333" s="31"/>
      <c r="G333" s="36"/>
      <c r="H333" s="37">
        <f t="shared" si="10"/>
        <v>4</v>
      </c>
      <c r="I333" s="38" t="str">
        <f t="shared" si="11"/>
        <v/>
      </c>
      <c r="K333" s="36"/>
    </row>
    <row r="334" spans="3:11" ht="14.25" x14ac:dyDescent="0.2">
      <c r="C334" s="35"/>
      <c r="D334" s="31"/>
      <c r="E334" s="31"/>
      <c r="G334" s="36"/>
      <c r="H334" s="37">
        <f t="shared" si="10"/>
        <v>4</v>
      </c>
      <c r="I334" s="38" t="str">
        <f t="shared" si="11"/>
        <v/>
      </c>
      <c r="K334" s="36"/>
    </row>
    <row r="335" spans="3:11" ht="14.25" x14ac:dyDescent="0.2">
      <c r="C335" s="35"/>
      <c r="D335" s="31"/>
      <c r="E335" s="31"/>
      <c r="G335" s="36"/>
      <c r="H335" s="37">
        <f t="shared" si="10"/>
        <v>4</v>
      </c>
      <c r="I335" s="38" t="str">
        <f t="shared" si="11"/>
        <v/>
      </c>
      <c r="K335" s="36"/>
    </row>
    <row r="336" spans="3:11" ht="14.25" x14ac:dyDescent="0.2">
      <c r="C336" s="35"/>
      <c r="D336" s="31"/>
      <c r="E336" s="31"/>
      <c r="G336" s="36"/>
      <c r="H336" s="37">
        <f t="shared" si="10"/>
        <v>4</v>
      </c>
      <c r="I336" s="38" t="str">
        <f t="shared" si="11"/>
        <v/>
      </c>
      <c r="K336" s="36"/>
    </row>
    <row r="337" spans="3:11" ht="14.25" x14ac:dyDescent="0.2">
      <c r="C337" s="35"/>
      <c r="D337" s="31"/>
      <c r="E337" s="31"/>
      <c r="G337" s="36"/>
      <c r="H337" s="37">
        <f t="shared" si="10"/>
        <v>4</v>
      </c>
      <c r="I337" s="38" t="str">
        <f t="shared" si="11"/>
        <v/>
      </c>
      <c r="K337" s="36"/>
    </row>
    <row r="338" spans="3:11" ht="14.25" x14ac:dyDescent="0.2">
      <c r="C338" s="35"/>
      <c r="D338" s="31"/>
      <c r="E338" s="31"/>
      <c r="G338" s="36"/>
      <c r="H338" s="37">
        <f t="shared" si="10"/>
        <v>4</v>
      </c>
      <c r="I338" s="38" t="str">
        <f t="shared" si="11"/>
        <v/>
      </c>
      <c r="K338" s="36"/>
    </row>
    <row r="339" spans="3:11" ht="14.25" x14ac:dyDescent="0.2">
      <c r="C339" s="35"/>
      <c r="D339" s="31"/>
      <c r="E339" s="31"/>
      <c r="G339" s="36"/>
      <c r="H339" s="37">
        <f t="shared" si="10"/>
        <v>4</v>
      </c>
      <c r="I339" s="38" t="str">
        <f t="shared" si="11"/>
        <v/>
      </c>
      <c r="K339" s="36"/>
    </row>
    <row r="340" spans="3:11" ht="14.25" x14ac:dyDescent="0.2">
      <c r="C340" s="35"/>
      <c r="D340" s="31"/>
      <c r="E340" s="31"/>
      <c r="G340" s="36"/>
      <c r="H340" s="37">
        <f t="shared" si="10"/>
        <v>4</v>
      </c>
      <c r="I340" s="38" t="str">
        <f t="shared" si="11"/>
        <v/>
      </c>
      <c r="K340" s="36"/>
    </row>
    <row r="341" spans="3:11" ht="14.25" x14ac:dyDescent="0.2">
      <c r="C341" s="35"/>
      <c r="D341" s="31"/>
      <c r="E341" s="31"/>
      <c r="G341" s="36"/>
      <c r="H341" s="37">
        <f t="shared" si="10"/>
        <v>4</v>
      </c>
      <c r="I341" s="38" t="str">
        <f t="shared" si="11"/>
        <v/>
      </c>
      <c r="K341" s="36"/>
    </row>
    <row r="342" spans="3:11" ht="14.25" x14ac:dyDescent="0.2">
      <c r="C342" s="35"/>
      <c r="D342" s="31"/>
      <c r="E342" s="31"/>
      <c r="G342" s="36"/>
      <c r="H342" s="37">
        <f t="shared" si="10"/>
        <v>4</v>
      </c>
      <c r="I342" s="38" t="str">
        <f t="shared" si="11"/>
        <v/>
      </c>
      <c r="K342" s="36"/>
    </row>
    <row r="343" spans="3:11" ht="14.25" x14ac:dyDescent="0.2">
      <c r="C343" s="35"/>
      <c r="D343" s="31"/>
      <c r="E343" s="31"/>
      <c r="G343" s="36"/>
      <c r="H343" s="37">
        <f t="shared" si="10"/>
        <v>4</v>
      </c>
      <c r="I343" s="38" t="str">
        <f t="shared" si="11"/>
        <v/>
      </c>
      <c r="K343" s="36"/>
    </row>
    <row r="344" spans="3:11" ht="14.25" x14ac:dyDescent="0.2">
      <c r="C344" s="35"/>
      <c r="D344" s="31"/>
      <c r="E344" s="31"/>
      <c r="G344" s="36"/>
      <c r="H344" s="37">
        <f t="shared" si="10"/>
        <v>4</v>
      </c>
      <c r="I344" s="38" t="str">
        <f t="shared" si="11"/>
        <v/>
      </c>
      <c r="K344" s="36"/>
    </row>
    <row r="345" spans="3:11" ht="14.25" x14ac:dyDescent="0.2">
      <c r="C345" s="35"/>
      <c r="D345" s="31"/>
      <c r="E345" s="31"/>
      <c r="G345" s="36"/>
      <c r="H345" s="37">
        <f t="shared" si="10"/>
        <v>4</v>
      </c>
      <c r="I345" s="38" t="str">
        <f t="shared" si="11"/>
        <v/>
      </c>
      <c r="K345" s="36"/>
    </row>
    <row r="346" spans="3:11" ht="14.25" x14ac:dyDescent="0.2">
      <c r="C346" s="35"/>
      <c r="D346" s="31"/>
      <c r="E346" s="31"/>
      <c r="G346" s="36"/>
      <c r="H346" s="37">
        <f t="shared" si="10"/>
        <v>4</v>
      </c>
      <c r="I346" s="38" t="str">
        <f t="shared" si="11"/>
        <v/>
      </c>
      <c r="K346" s="36"/>
    </row>
    <row r="347" spans="3:11" ht="14.25" x14ac:dyDescent="0.2">
      <c r="C347" s="35"/>
      <c r="D347" s="31"/>
      <c r="E347" s="31"/>
      <c r="G347" s="36"/>
      <c r="H347" s="37">
        <f t="shared" si="10"/>
        <v>4</v>
      </c>
      <c r="I347" s="38" t="str">
        <f t="shared" si="11"/>
        <v/>
      </c>
      <c r="K347" s="36"/>
    </row>
    <row r="348" spans="3:11" ht="14.25" x14ac:dyDescent="0.2">
      <c r="C348" s="35"/>
      <c r="D348" s="31"/>
      <c r="E348" s="31"/>
      <c r="G348" s="36"/>
      <c r="H348" s="37">
        <f t="shared" si="10"/>
        <v>4</v>
      </c>
      <c r="I348" s="38" t="str">
        <f t="shared" si="11"/>
        <v/>
      </c>
      <c r="K348" s="36"/>
    </row>
    <row r="349" spans="3:11" ht="14.25" x14ac:dyDescent="0.2">
      <c r="C349" s="35"/>
      <c r="D349" s="31"/>
      <c r="E349" s="31"/>
      <c r="G349" s="36"/>
      <c r="H349" s="37">
        <f t="shared" si="10"/>
        <v>4</v>
      </c>
      <c r="I349" s="38" t="str">
        <f t="shared" si="11"/>
        <v/>
      </c>
      <c r="K349" s="36"/>
    </row>
    <row r="350" spans="3:11" ht="14.25" x14ac:dyDescent="0.2">
      <c r="C350" s="35"/>
      <c r="D350" s="31"/>
      <c r="E350" s="31"/>
      <c r="G350" s="36"/>
      <c r="H350" s="37">
        <f t="shared" si="10"/>
        <v>4</v>
      </c>
      <c r="I350" s="38" t="str">
        <f t="shared" si="11"/>
        <v/>
      </c>
      <c r="K350" s="36"/>
    </row>
    <row r="351" spans="3:11" ht="14.25" x14ac:dyDescent="0.2">
      <c r="C351" s="35"/>
      <c r="D351" s="31"/>
      <c r="E351" s="31"/>
      <c r="G351" s="36"/>
      <c r="H351" s="37">
        <f t="shared" si="10"/>
        <v>4</v>
      </c>
      <c r="I351" s="38" t="str">
        <f t="shared" si="11"/>
        <v/>
      </c>
      <c r="K351" s="36"/>
    </row>
    <row r="352" spans="3:11" ht="14.25" x14ac:dyDescent="0.2">
      <c r="C352" s="35"/>
      <c r="D352" s="31"/>
      <c r="E352" s="31"/>
      <c r="G352" s="36"/>
      <c r="H352" s="37">
        <f t="shared" si="10"/>
        <v>4</v>
      </c>
      <c r="I352" s="38" t="str">
        <f t="shared" si="11"/>
        <v/>
      </c>
      <c r="K352" s="36"/>
    </row>
    <row r="353" spans="3:11" ht="14.25" x14ac:dyDescent="0.2">
      <c r="C353" s="35"/>
      <c r="D353" s="31"/>
      <c r="E353" s="31"/>
      <c r="G353" s="36"/>
      <c r="H353" s="37">
        <f t="shared" si="10"/>
        <v>4</v>
      </c>
      <c r="I353" s="38" t="str">
        <f t="shared" si="11"/>
        <v/>
      </c>
      <c r="K353" s="36"/>
    </row>
    <row r="354" spans="3:11" ht="14.25" x14ac:dyDescent="0.2">
      <c r="C354" s="35"/>
      <c r="D354" s="31"/>
      <c r="E354" s="31"/>
      <c r="G354" s="36"/>
      <c r="H354" s="37">
        <f t="shared" si="10"/>
        <v>4</v>
      </c>
      <c r="I354" s="38" t="str">
        <f t="shared" si="11"/>
        <v/>
      </c>
      <c r="K354" s="36"/>
    </row>
    <row r="355" spans="3:11" ht="14.25" x14ac:dyDescent="0.2">
      <c r="C355" s="35"/>
      <c r="D355" s="31"/>
      <c r="E355" s="31"/>
      <c r="G355" s="36"/>
      <c r="H355" s="37">
        <f t="shared" si="10"/>
        <v>4</v>
      </c>
      <c r="I355" s="38" t="str">
        <f t="shared" si="11"/>
        <v/>
      </c>
      <c r="K355" s="36"/>
    </row>
    <row r="356" spans="3:11" ht="14.25" x14ac:dyDescent="0.2">
      <c r="C356" s="35"/>
      <c r="D356" s="31"/>
      <c r="E356" s="31"/>
      <c r="G356" s="36"/>
      <c r="H356" s="38"/>
      <c r="I356" s="38" t="str">
        <f t="shared" si="11"/>
        <v/>
      </c>
      <c r="K356" s="36"/>
    </row>
    <row r="357" spans="3:11" ht="14.25" x14ac:dyDescent="0.2">
      <c r="C357" s="35"/>
      <c r="D357" s="31"/>
      <c r="E357" s="31"/>
      <c r="G357" s="36"/>
      <c r="H357" s="38"/>
      <c r="I357" s="38" t="str">
        <f t="shared" si="11"/>
        <v/>
      </c>
      <c r="K357" s="36"/>
    </row>
    <row r="358" spans="3:11" ht="14.25" x14ac:dyDescent="0.2">
      <c r="C358" s="35"/>
      <c r="D358" s="31"/>
      <c r="E358" s="31"/>
      <c r="G358" s="36"/>
      <c r="H358" s="38"/>
      <c r="I358" s="38" t="str">
        <f t="shared" si="11"/>
        <v/>
      </c>
      <c r="K358" s="36"/>
    </row>
    <row r="359" spans="3:11" ht="14.25" x14ac:dyDescent="0.2">
      <c r="C359" s="35"/>
      <c r="D359" s="31"/>
      <c r="E359" s="31"/>
      <c r="G359" s="36"/>
      <c r="H359" s="38"/>
      <c r="I359" s="38" t="str">
        <f t="shared" si="11"/>
        <v/>
      </c>
      <c r="K359" s="36"/>
    </row>
    <row r="360" spans="3:11" ht="14.25" x14ac:dyDescent="0.2">
      <c r="C360" s="35"/>
      <c r="D360" s="31"/>
      <c r="E360" s="31"/>
      <c r="G360" s="36"/>
      <c r="H360" s="38"/>
      <c r="I360" s="38" t="str">
        <f t="shared" si="11"/>
        <v/>
      </c>
      <c r="K360" s="36"/>
    </row>
    <row r="361" spans="3:11" ht="14.25" x14ac:dyDescent="0.2">
      <c r="C361" s="35"/>
      <c r="D361" s="31"/>
      <c r="E361" s="31"/>
      <c r="G361" s="36"/>
      <c r="H361" s="38"/>
      <c r="I361" s="38" t="str">
        <f t="shared" si="11"/>
        <v/>
      </c>
      <c r="K361" s="36"/>
    </row>
    <row r="362" spans="3:11" ht="14.25" x14ac:dyDescent="0.2">
      <c r="C362" s="35"/>
      <c r="D362" s="31"/>
      <c r="E362" s="31"/>
      <c r="G362" s="36"/>
      <c r="H362" s="38"/>
      <c r="I362" s="38" t="str">
        <f t="shared" si="11"/>
        <v/>
      </c>
      <c r="K362" s="36"/>
    </row>
    <row r="363" spans="3:11" ht="14.25" x14ac:dyDescent="0.2">
      <c r="C363" s="35"/>
      <c r="D363" s="31"/>
      <c r="E363" s="31"/>
      <c r="G363" s="36"/>
      <c r="H363" s="38"/>
      <c r="I363" s="38" t="str">
        <f t="shared" si="11"/>
        <v/>
      </c>
      <c r="K363" s="36"/>
    </row>
    <row r="364" spans="3:11" ht="14.25" x14ac:dyDescent="0.2">
      <c r="C364" s="35"/>
      <c r="D364" s="31"/>
      <c r="E364" s="31"/>
      <c r="G364" s="36"/>
      <c r="H364" s="38"/>
      <c r="I364" s="38" t="str">
        <f t="shared" si="11"/>
        <v/>
      </c>
      <c r="K364" s="36"/>
    </row>
    <row r="365" spans="3:11" ht="14.25" x14ac:dyDescent="0.2">
      <c r="C365" s="35"/>
      <c r="D365" s="31"/>
      <c r="E365" s="31"/>
      <c r="G365" s="36"/>
      <c r="H365" s="38"/>
      <c r="I365" s="38" t="str">
        <f t="shared" si="11"/>
        <v/>
      </c>
      <c r="K365" s="36"/>
    </row>
    <row r="366" spans="3:11" ht="14.25" x14ac:dyDescent="0.2">
      <c r="C366" s="35"/>
      <c r="D366" s="31"/>
      <c r="E366" s="31"/>
      <c r="G366" s="36"/>
      <c r="H366" s="38"/>
      <c r="I366" s="38" t="str">
        <f t="shared" si="11"/>
        <v/>
      </c>
      <c r="K366" s="36"/>
    </row>
    <row r="367" spans="3:11" ht="14.25" x14ac:dyDescent="0.2">
      <c r="C367" s="35"/>
      <c r="D367" s="31"/>
      <c r="E367" s="31"/>
      <c r="G367" s="36"/>
      <c r="H367" s="38"/>
      <c r="I367" s="38" t="str">
        <f t="shared" si="11"/>
        <v/>
      </c>
      <c r="K367" s="36"/>
    </row>
    <row r="368" spans="3:11" ht="14.25" x14ac:dyDescent="0.2">
      <c r="C368" s="35"/>
      <c r="D368" s="31"/>
      <c r="E368" s="31"/>
      <c r="G368" s="36"/>
      <c r="H368" s="38"/>
      <c r="I368" s="38" t="str">
        <f t="shared" si="11"/>
        <v/>
      </c>
      <c r="K368" s="36"/>
    </row>
    <row r="369" spans="3:11" ht="14.25" x14ac:dyDescent="0.2">
      <c r="C369" s="35"/>
      <c r="D369" s="31"/>
      <c r="E369" s="31"/>
      <c r="G369" s="36"/>
      <c r="H369" s="38"/>
      <c r="I369" s="38" t="str">
        <f t="shared" si="11"/>
        <v/>
      </c>
      <c r="K369" s="36"/>
    </row>
    <row r="370" spans="3:11" ht="14.25" x14ac:dyDescent="0.2">
      <c r="C370" s="35"/>
      <c r="D370" s="31"/>
      <c r="E370" s="31"/>
      <c r="G370" s="36"/>
      <c r="H370" s="38"/>
      <c r="I370" s="38" t="str">
        <f t="shared" si="11"/>
        <v/>
      </c>
      <c r="K370" s="36"/>
    </row>
    <row r="371" spans="3:11" ht="14.25" x14ac:dyDescent="0.2">
      <c r="C371" s="35"/>
      <c r="D371" s="31"/>
      <c r="E371" s="31"/>
      <c r="G371" s="36"/>
      <c r="H371" s="38"/>
      <c r="I371" s="38" t="str">
        <f t="shared" si="11"/>
        <v/>
      </c>
      <c r="K371" s="36"/>
    </row>
    <row r="372" spans="3:11" ht="14.25" x14ac:dyDescent="0.2">
      <c r="C372" s="35"/>
      <c r="D372" s="31"/>
      <c r="E372" s="31"/>
      <c r="G372" s="36"/>
      <c r="H372" s="38"/>
      <c r="I372" s="38" t="str">
        <f t="shared" si="11"/>
        <v/>
      </c>
      <c r="K372" s="36"/>
    </row>
    <row r="373" spans="3:11" ht="14.25" x14ac:dyDescent="0.2">
      <c r="C373" s="35"/>
      <c r="D373" s="31"/>
      <c r="E373" s="31"/>
      <c r="G373" s="36"/>
      <c r="H373" s="38"/>
      <c r="I373" s="38" t="str">
        <f t="shared" si="11"/>
        <v/>
      </c>
      <c r="K373" s="36"/>
    </row>
    <row r="374" spans="3:11" ht="14.25" x14ac:dyDescent="0.2">
      <c r="C374" s="35"/>
      <c r="D374" s="31"/>
      <c r="E374" s="31"/>
      <c r="G374" s="36"/>
      <c r="H374" s="38"/>
      <c r="I374" s="38" t="str">
        <f t="shared" si="11"/>
        <v/>
      </c>
      <c r="K374" s="36"/>
    </row>
    <row r="375" spans="3:11" ht="14.25" x14ac:dyDescent="0.2">
      <c r="C375" s="35"/>
      <c r="D375" s="31"/>
      <c r="E375" s="31"/>
      <c r="G375" s="36"/>
      <c r="H375" s="38"/>
      <c r="I375" s="38" t="str">
        <f t="shared" si="11"/>
        <v/>
      </c>
      <c r="K375" s="36"/>
    </row>
    <row r="376" spans="3:11" ht="14.25" x14ac:dyDescent="0.2">
      <c r="C376" s="35"/>
      <c r="D376" s="31"/>
      <c r="E376" s="31"/>
      <c r="G376" s="36"/>
      <c r="H376" s="38"/>
      <c r="I376" s="38" t="str">
        <f t="shared" si="11"/>
        <v/>
      </c>
      <c r="K376" s="36"/>
    </row>
    <row r="377" spans="3:11" ht="14.25" x14ac:dyDescent="0.2">
      <c r="C377" s="35"/>
      <c r="D377" s="31"/>
      <c r="E377" s="31"/>
      <c r="G377" s="36"/>
      <c r="H377" s="38"/>
      <c r="I377" s="38" t="str">
        <f t="shared" si="11"/>
        <v/>
      </c>
      <c r="K377" s="36"/>
    </row>
    <row r="378" spans="3:11" ht="14.25" x14ac:dyDescent="0.2">
      <c r="C378" s="35"/>
      <c r="D378" s="31"/>
      <c r="E378" s="31"/>
      <c r="G378" s="36"/>
      <c r="H378" s="38"/>
      <c r="I378" s="38" t="str">
        <f t="shared" si="11"/>
        <v/>
      </c>
      <c r="K378" s="36"/>
    </row>
    <row r="379" spans="3:11" ht="14.25" x14ac:dyDescent="0.2">
      <c r="C379" s="35"/>
      <c r="D379" s="31"/>
      <c r="E379" s="31"/>
      <c r="G379" s="36"/>
      <c r="H379" s="38"/>
      <c r="I379" s="38" t="str">
        <f t="shared" si="11"/>
        <v/>
      </c>
      <c r="K379" s="36"/>
    </row>
    <row r="380" spans="3:11" ht="14.25" x14ac:dyDescent="0.2">
      <c r="C380" s="35"/>
      <c r="D380" s="31"/>
      <c r="E380" s="31"/>
      <c r="G380" s="36"/>
      <c r="H380" s="38"/>
      <c r="I380" s="38" t="str">
        <f t="shared" si="11"/>
        <v/>
      </c>
      <c r="K380" s="36"/>
    </row>
    <row r="381" spans="3:11" ht="14.25" x14ac:dyDescent="0.2">
      <c r="C381" s="35"/>
      <c r="D381" s="31"/>
      <c r="E381" s="31"/>
      <c r="G381" s="36"/>
      <c r="H381" s="38"/>
      <c r="I381" s="38" t="str">
        <f t="shared" si="11"/>
        <v/>
      </c>
      <c r="K381" s="36"/>
    </row>
    <row r="382" spans="3:11" ht="14.25" x14ac:dyDescent="0.2">
      <c r="C382" s="35"/>
      <c r="D382" s="31"/>
      <c r="E382" s="31"/>
      <c r="G382" s="36"/>
      <c r="H382" s="38"/>
      <c r="I382" s="38" t="str">
        <f t="shared" si="11"/>
        <v/>
      </c>
      <c r="K382" s="36"/>
    </row>
    <row r="383" spans="3:11" ht="14.25" x14ac:dyDescent="0.2">
      <c r="C383" s="35"/>
      <c r="D383" s="31"/>
      <c r="E383" s="31"/>
      <c r="G383" s="36"/>
      <c r="H383" s="38"/>
      <c r="I383" s="38" t="str">
        <f t="shared" si="11"/>
        <v/>
      </c>
      <c r="K383" s="36"/>
    </row>
    <row r="384" spans="3:11" ht="14.25" x14ac:dyDescent="0.2">
      <c r="C384" s="35"/>
      <c r="D384" s="31"/>
      <c r="E384" s="31"/>
      <c r="G384" s="36"/>
      <c r="H384" s="38"/>
      <c r="I384" s="38" t="str">
        <f t="shared" si="11"/>
        <v/>
      </c>
      <c r="K384" s="36"/>
    </row>
    <row r="385" spans="3:11" ht="14.25" x14ac:dyDescent="0.2">
      <c r="C385" s="35"/>
      <c r="D385" s="31"/>
      <c r="E385" s="31"/>
      <c r="G385" s="36"/>
      <c r="H385" s="38"/>
      <c r="I385" s="38" t="str">
        <f t="shared" si="11"/>
        <v/>
      </c>
      <c r="K385" s="36"/>
    </row>
    <row r="386" spans="3:11" ht="14.25" x14ac:dyDescent="0.2">
      <c r="C386" s="35"/>
      <c r="D386" s="31"/>
      <c r="E386" s="31"/>
      <c r="G386" s="36"/>
      <c r="H386" s="38"/>
      <c r="I386" s="38" t="str">
        <f t="shared" si="11"/>
        <v/>
      </c>
      <c r="K386" s="36"/>
    </row>
    <row r="387" spans="3:11" ht="14.25" x14ac:dyDescent="0.2">
      <c r="C387" s="35"/>
      <c r="D387" s="31"/>
      <c r="E387" s="31"/>
      <c r="G387" s="36"/>
      <c r="H387" s="38"/>
      <c r="I387" s="38" t="str">
        <f t="shared" si="11"/>
        <v/>
      </c>
      <c r="K387" s="36"/>
    </row>
    <row r="388" spans="3:11" ht="14.25" x14ac:dyDescent="0.2">
      <c r="C388" s="35"/>
      <c r="D388" s="31"/>
      <c r="E388" s="31"/>
      <c r="G388" s="36"/>
      <c r="H388" s="38"/>
      <c r="I388" s="38" t="str">
        <f t="shared" si="11"/>
        <v/>
      </c>
      <c r="K388" s="36"/>
    </row>
    <row r="389" spans="3:11" ht="14.25" x14ac:dyDescent="0.2">
      <c r="C389" s="35"/>
      <c r="D389" s="31"/>
      <c r="E389" s="31"/>
      <c r="G389" s="36"/>
      <c r="H389" s="38"/>
      <c r="I389" s="38" t="str">
        <f t="shared" si="11"/>
        <v/>
      </c>
      <c r="K389" s="36"/>
    </row>
    <row r="390" spans="3:11" ht="14.25" x14ac:dyDescent="0.2">
      <c r="C390" s="35"/>
      <c r="D390" s="31"/>
      <c r="E390" s="31"/>
      <c r="G390" s="36"/>
      <c r="H390" s="38"/>
      <c r="I390" s="38" t="str">
        <f t="shared" si="11"/>
        <v/>
      </c>
      <c r="K390" s="36"/>
    </row>
    <row r="391" spans="3:11" ht="14.25" x14ac:dyDescent="0.2">
      <c r="C391" s="35"/>
      <c r="D391" s="31"/>
      <c r="E391" s="31"/>
      <c r="G391" s="36"/>
      <c r="H391" s="38"/>
      <c r="I391" s="38" t="str">
        <f t="shared" ref="I391:I454" si="12">IF(C391="","",I390+IF(D391="Ingreso",H391,-H391))</f>
        <v/>
      </c>
      <c r="K391" s="36"/>
    </row>
    <row r="392" spans="3:11" ht="14.25" x14ac:dyDescent="0.2">
      <c r="C392" s="35"/>
      <c r="D392" s="31"/>
      <c r="E392" s="31"/>
      <c r="G392" s="36"/>
      <c r="H392" s="38"/>
      <c r="I392" s="38" t="str">
        <f t="shared" si="12"/>
        <v/>
      </c>
      <c r="K392" s="36"/>
    </row>
    <row r="393" spans="3:11" ht="14.25" x14ac:dyDescent="0.2">
      <c r="C393" s="35"/>
      <c r="D393" s="31"/>
      <c r="E393" s="31"/>
      <c r="G393" s="36"/>
      <c r="H393" s="38"/>
      <c r="I393" s="38" t="str">
        <f t="shared" si="12"/>
        <v/>
      </c>
      <c r="K393" s="36"/>
    </row>
    <row r="394" spans="3:11" ht="14.25" x14ac:dyDescent="0.2">
      <c r="C394" s="35"/>
      <c r="D394" s="31"/>
      <c r="E394" s="31"/>
      <c r="G394" s="36"/>
      <c r="H394" s="38"/>
      <c r="I394" s="38" t="str">
        <f t="shared" si="12"/>
        <v/>
      </c>
      <c r="K394" s="36"/>
    </row>
    <row r="395" spans="3:11" ht="14.25" x14ac:dyDescent="0.2">
      <c r="C395" s="35"/>
      <c r="D395" s="31"/>
      <c r="E395" s="31"/>
      <c r="G395" s="36"/>
      <c r="H395" s="38"/>
      <c r="I395" s="38" t="str">
        <f t="shared" si="12"/>
        <v/>
      </c>
      <c r="K395" s="36"/>
    </row>
    <row r="396" spans="3:11" ht="14.25" x14ac:dyDescent="0.2">
      <c r="C396" s="35"/>
      <c r="D396" s="31"/>
      <c r="E396" s="31"/>
      <c r="G396" s="36"/>
      <c r="H396" s="38"/>
      <c r="I396" s="38" t="str">
        <f t="shared" si="12"/>
        <v/>
      </c>
      <c r="K396" s="36"/>
    </row>
    <row r="397" spans="3:11" ht="14.25" x14ac:dyDescent="0.2">
      <c r="C397" s="35"/>
      <c r="D397" s="31"/>
      <c r="E397" s="31"/>
      <c r="G397" s="36"/>
      <c r="H397" s="38"/>
      <c r="I397" s="38" t="str">
        <f t="shared" si="12"/>
        <v/>
      </c>
      <c r="K397" s="36"/>
    </row>
    <row r="398" spans="3:11" ht="14.25" x14ac:dyDescent="0.2">
      <c r="C398" s="35"/>
      <c r="D398" s="31"/>
      <c r="E398" s="31"/>
      <c r="G398" s="36"/>
      <c r="H398" s="38"/>
      <c r="I398" s="38" t="str">
        <f t="shared" si="12"/>
        <v/>
      </c>
      <c r="K398" s="36"/>
    </row>
    <row r="399" spans="3:11" ht="14.25" x14ac:dyDescent="0.2">
      <c r="C399" s="35"/>
      <c r="D399" s="31"/>
      <c r="E399" s="31"/>
      <c r="G399" s="36"/>
      <c r="H399" s="38"/>
      <c r="I399" s="38" t="str">
        <f t="shared" si="12"/>
        <v/>
      </c>
      <c r="K399" s="36"/>
    </row>
    <row r="400" spans="3:11" ht="14.25" x14ac:dyDescent="0.2">
      <c r="C400" s="35"/>
      <c r="D400" s="31"/>
      <c r="E400" s="31"/>
      <c r="G400" s="36"/>
      <c r="H400" s="38"/>
      <c r="I400" s="38" t="str">
        <f t="shared" si="12"/>
        <v/>
      </c>
      <c r="K400" s="36"/>
    </row>
    <row r="401" spans="3:11" ht="14.25" x14ac:dyDescent="0.2">
      <c r="C401" s="35"/>
      <c r="D401" s="31"/>
      <c r="E401" s="31"/>
      <c r="G401" s="36"/>
      <c r="H401" s="38"/>
      <c r="I401" s="38" t="str">
        <f t="shared" si="12"/>
        <v/>
      </c>
      <c r="K401" s="36"/>
    </row>
    <row r="402" spans="3:11" ht="14.25" x14ac:dyDescent="0.2">
      <c r="C402" s="35"/>
      <c r="D402" s="31"/>
      <c r="E402" s="31"/>
      <c r="G402" s="36"/>
      <c r="H402" s="38"/>
      <c r="I402" s="38" t="str">
        <f t="shared" si="12"/>
        <v/>
      </c>
      <c r="K402" s="36"/>
    </row>
    <row r="403" spans="3:11" ht="14.25" x14ac:dyDescent="0.2">
      <c r="C403" s="35"/>
      <c r="D403" s="31"/>
      <c r="E403" s="31"/>
      <c r="G403" s="36"/>
      <c r="H403" s="38"/>
      <c r="I403" s="38" t="str">
        <f t="shared" si="12"/>
        <v/>
      </c>
      <c r="K403" s="36"/>
    </row>
    <row r="404" spans="3:11" ht="14.25" x14ac:dyDescent="0.2">
      <c r="C404" s="35"/>
      <c r="D404" s="31"/>
      <c r="E404" s="31"/>
      <c r="G404" s="36"/>
      <c r="H404" s="38"/>
      <c r="I404" s="38" t="str">
        <f t="shared" si="12"/>
        <v/>
      </c>
      <c r="K404" s="36"/>
    </row>
    <row r="405" spans="3:11" ht="14.25" x14ac:dyDescent="0.2">
      <c r="C405" s="35"/>
      <c r="D405" s="31"/>
      <c r="E405" s="31"/>
      <c r="G405" s="36"/>
      <c r="H405" s="38"/>
      <c r="I405" s="38" t="str">
        <f t="shared" si="12"/>
        <v/>
      </c>
      <c r="K405" s="36"/>
    </row>
    <row r="406" spans="3:11" ht="14.25" x14ac:dyDescent="0.2">
      <c r="C406" s="35"/>
      <c r="D406" s="31"/>
      <c r="E406" s="31"/>
      <c r="G406" s="36"/>
      <c r="H406" s="38"/>
      <c r="I406" s="38" t="str">
        <f t="shared" si="12"/>
        <v/>
      </c>
      <c r="K406" s="36"/>
    </row>
    <row r="407" spans="3:11" ht="14.25" x14ac:dyDescent="0.2">
      <c r="C407" s="35"/>
      <c r="D407" s="31"/>
      <c r="E407" s="31"/>
      <c r="G407" s="36"/>
      <c r="H407" s="38"/>
      <c r="I407" s="38" t="str">
        <f t="shared" si="12"/>
        <v/>
      </c>
      <c r="K407" s="36"/>
    </row>
    <row r="408" spans="3:11" ht="14.25" x14ac:dyDescent="0.2">
      <c r="C408" s="35"/>
      <c r="D408" s="31"/>
      <c r="E408" s="31"/>
      <c r="G408" s="36"/>
      <c r="H408" s="38"/>
      <c r="I408" s="38" t="str">
        <f t="shared" si="12"/>
        <v/>
      </c>
      <c r="K408" s="36"/>
    </row>
    <row r="409" spans="3:11" ht="14.25" x14ac:dyDescent="0.2">
      <c r="C409" s="35"/>
      <c r="D409" s="31"/>
      <c r="E409" s="31"/>
      <c r="G409" s="36"/>
      <c r="H409" s="38"/>
      <c r="I409" s="38" t="str">
        <f t="shared" si="12"/>
        <v/>
      </c>
      <c r="K409" s="36"/>
    </row>
    <row r="410" spans="3:11" ht="14.25" x14ac:dyDescent="0.2">
      <c r="C410" s="35"/>
      <c r="D410" s="31"/>
      <c r="E410" s="31"/>
      <c r="G410" s="36"/>
      <c r="H410" s="38"/>
      <c r="I410" s="38" t="str">
        <f t="shared" si="12"/>
        <v/>
      </c>
      <c r="K410" s="36"/>
    </row>
    <row r="411" spans="3:11" ht="14.25" x14ac:dyDescent="0.2">
      <c r="C411" s="35"/>
      <c r="D411" s="31"/>
      <c r="E411" s="31"/>
      <c r="G411" s="36"/>
      <c r="H411" s="38"/>
      <c r="I411" s="38" t="str">
        <f t="shared" si="12"/>
        <v/>
      </c>
      <c r="K411" s="36"/>
    </row>
    <row r="412" spans="3:11" ht="14.25" x14ac:dyDescent="0.2">
      <c r="C412" s="35"/>
      <c r="D412" s="31"/>
      <c r="E412" s="31"/>
      <c r="G412" s="36"/>
      <c r="H412" s="38"/>
      <c r="I412" s="38" t="str">
        <f t="shared" si="12"/>
        <v/>
      </c>
      <c r="K412" s="36"/>
    </row>
    <row r="413" spans="3:11" ht="14.25" x14ac:dyDescent="0.2">
      <c r="C413" s="35"/>
      <c r="D413" s="31"/>
      <c r="E413" s="31"/>
      <c r="G413" s="36"/>
      <c r="H413" s="38"/>
      <c r="I413" s="38" t="str">
        <f t="shared" si="12"/>
        <v/>
      </c>
      <c r="K413" s="36"/>
    </row>
    <row r="414" spans="3:11" ht="14.25" x14ac:dyDescent="0.2">
      <c r="C414" s="35"/>
      <c r="D414" s="31"/>
      <c r="E414" s="31"/>
      <c r="G414" s="36"/>
      <c r="H414" s="38"/>
      <c r="I414" s="38" t="str">
        <f t="shared" si="12"/>
        <v/>
      </c>
      <c r="K414" s="36"/>
    </row>
    <row r="415" spans="3:11" ht="14.25" x14ac:dyDescent="0.2">
      <c r="C415" s="35"/>
      <c r="D415" s="31"/>
      <c r="E415" s="31"/>
      <c r="G415" s="36"/>
      <c r="H415" s="38"/>
      <c r="I415" s="38" t="str">
        <f t="shared" si="12"/>
        <v/>
      </c>
      <c r="K415" s="36"/>
    </row>
    <row r="416" spans="3:11" ht="14.25" x14ac:dyDescent="0.2">
      <c r="C416" s="35"/>
      <c r="D416" s="31"/>
      <c r="E416" s="31"/>
      <c r="G416" s="36"/>
      <c r="H416" s="38"/>
      <c r="I416" s="38" t="str">
        <f t="shared" si="12"/>
        <v/>
      </c>
      <c r="K416" s="36"/>
    </row>
    <row r="417" spans="3:11" ht="14.25" x14ac:dyDescent="0.2">
      <c r="C417" s="35"/>
      <c r="D417" s="31"/>
      <c r="E417" s="31"/>
      <c r="G417" s="36"/>
      <c r="H417" s="38"/>
      <c r="I417" s="38" t="str">
        <f t="shared" si="12"/>
        <v/>
      </c>
      <c r="K417" s="36"/>
    </row>
    <row r="418" spans="3:11" ht="14.25" x14ac:dyDescent="0.2">
      <c r="C418" s="35"/>
      <c r="D418" s="31"/>
      <c r="E418" s="31"/>
      <c r="G418" s="36"/>
      <c r="H418" s="38"/>
      <c r="I418" s="38" t="str">
        <f t="shared" si="12"/>
        <v/>
      </c>
      <c r="K418" s="36"/>
    </row>
    <row r="419" spans="3:11" ht="14.25" x14ac:dyDescent="0.2">
      <c r="C419" s="35"/>
      <c r="D419" s="31"/>
      <c r="E419" s="31"/>
      <c r="G419" s="36"/>
      <c r="H419" s="38"/>
      <c r="I419" s="38" t="str">
        <f t="shared" si="12"/>
        <v/>
      </c>
      <c r="K419" s="36"/>
    </row>
    <row r="420" spans="3:11" ht="14.25" x14ac:dyDescent="0.2">
      <c r="C420" s="35"/>
      <c r="D420" s="31"/>
      <c r="E420" s="31"/>
      <c r="G420" s="36"/>
      <c r="H420" s="38"/>
      <c r="I420" s="38" t="str">
        <f t="shared" si="12"/>
        <v/>
      </c>
      <c r="K420" s="36"/>
    </row>
    <row r="421" spans="3:11" ht="14.25" x14ac:dyDescent="0.2">
      <c r="C421" s="35"/>
      <c r="D421" s="31"/>
      <c r="E421" s="31"/>
      <c r="G421" s="36"/>
      <c r="H421" s="38"/>
      <c r="I421" s="38" t="str">
        <f t="shared" si="12"/>
        <v/>
      </c>
      <c r="K421" s="36"/>
    </row>
    <row r="422" spans="3:11" ht="14.25" x14ac:dyDescent="0.2">
      <c r="C422" s="35"/>
      <c r="D422" s="31"/>
      <c r="E422" s="31"/>
      <c r="G422" s="36"/>
      <c r="H422" s="38"/>
      <c r="I422" s="38" t="str">
        <f t="shared" si="12"/>
        <v/>
      </c>
      <c r="K422" s="36"/>
    </row>
    <row r="423" spans="3:11" ht="14.25" x14ac:dyDescent="0.2">
      <c r="C423" s="35"/>
      <c r="D423" s="31"/>
      <c r="E423" s="31"/>
      <c r="G423" s="36"/>
      <c r="H423" s="38"/>
      <c r="I423" s="38" t="str">
        <f t="shared" si="12"/>
        <v/>
      </c>
      <c r="K423" s="36"/>
    </row>
    <row r="424" spans="3:11" ht="14.25" x14ac:dyDescent="0.2">
      <c r="C424" s="35"/>
      <c r="D424" s="31"/>
      <c r="E424" s="31"/>
      <c r="G424" s="36"/>
      <c r="H424" s="38"/>
      <c r="I424" s="38" t="str">
        <f t="shared" si="12"/>
        <v/>
      </c>
      <c r="K424" s="36"/>
    </row>
    <row r="425" spans="3:11" ht="14.25" x14ac:dyDescent="0.2">
      <c r="C425" s="35"/>
      <c r="D425" s="31"/>
      <c r="E425" s="31"/>
      <c r="G425" s="36"/>
      <c r="H425" s="38"/>
      <c r="I425" s="38" t="str">
        <f t="shared" si="12"/>
        <v/>
      </c>
      <c r="K425" s="36"/>
    </row>
    <row r="426" spans="3:11" ht="14.25" x14ac:dyDescent="0.2">
      <c r="C426" s="35"/>
      <c r="D426" s="31"/>
      <c r="E426" s="31"/>
      <c r="G426" s="36"/>
      <c r="H426" s="38"/>
      <c r="I426" s="38" t="str">
        <f t="shared" si="12"/>
        <v/>
      </c>
      <c r="K426" s="36"/>
    </row>
    <row r="427" spans="3:11" ht="14.25" x14ac:dyDescent="0.2">
      <c r="C427" s="35"/>
      <c r="D427" s="31"/>
      <c r="E427" s="31"/>
      <c r="G427" s="36"/>
      <c r="H427" s="38"/>
      <c r="I427" s="38" t="str">
        <f t="shared" si="12"/>
        <v/>
      </c>
      <c r="K427" s="36"/>
    </row>
    <row r="428" spans="3:11" ht="14.25" x14ac:dyDescent="0.2">
      <c r="C428" s="35"/>
      <c r="D428" s="31"/>
      <c r="E428" s="31"/>
      <c r="G428" s="36"/>
      <c r="H428" s="38"/>
      <c r="I428" s="38" t="str">
        <f t="shared" si="12"/>
        <v/>
      </c>
      <c r="K428" s="36"/>
    </row>
    <row r="429" spans="3:11" ht="14.25" x14ac:dyDescent="0.2">
      <c r="C429" s="35"/>
      <c r="D429" s="31"/>
      <c r="E429" s="31"/>
      <c r="G429" s="36"/>
      <c r="H429" s="38"/>
      <c r="I429" s="38" t="str">
        <f t="shared" si="12"/>
        <v/>
      </c>
      <c r="K429" s="36"/>
    </row>
    <row r="430" spans="3:11" ht="14.25" x14ac:dyDescent="0.2">
      <c r="C430" s="35"/>
      <c r="D430" s="31"/>
      <c r="E430" s="31"/>
      <c r="G430" s="36"/>
      <c r="H430" s="38"/>
      <c r="I430" s="38" t="str">
        <f t="shared" si="12"/>
        <v/>
      </c>
      <c r="K430" s="36"/>
    </row>
    <row r="431" spans="3:11" ht="14.25" x14ac:dyDescent="0.2">
      <c r="C431" s="35"/>
      <c r="D431" s="31"/>
      <c r="E431" s="31"/>
      <c r="G431" s="36"/>
      <c r="H431" s="38"/>
      <c r="I431" s="38" t="str">
        <f t="shared" si="12"/>
        <v/>
      </c>
      <c r="K431" s="36"/>
    </row>
    <row r="432" spans="3:11" ht="14.25" x14ac:dyDescent="0.2">
      <c r="C432" s="35"/>
      <c r="D432" s="31"/>
      <c r="E432" s="31"/>
      <c r="G432" s="36"/>
      <c r="H432" s="38"/>
      <c r="I432" s="38" t="str">
        <f t="shared" si="12"/>
        <v/>
      </c>
      <c r="K432" s="36"/>
    </row>
    <row r="433" spans="3:11" ht="14.25" x14ac:dyDescent="0.2">
      <c r="C433" s="35"/>
      <c r="D433" s="31"/>
      <c r="E433" s="31"/>
      <c r="G433" s="36"/>
      <c r="H433" s="38"/>
      <c r="I433" s="38" t="str">
        <f t="shared" si="12"/>
        <v/>
      </c>
      <c r="K433" s="36"/>
    </row>
    <row r="434" spans="3:11" ht="14.25" x14ac:dyDescent="0.2">
      <c r="C434" s="35"/>
      <c r="D434" s="31"/>
      <c r="E434" s="31"/>
      <c r="G434" s="36"/>
      <c r="H434" s="38"/>
      <c r="I434" s="38" t="str">
        <f t="shared" si="12"/>
        <v/>
      </c>
      <c r="K434" s="36"/>
    </row>
    <row r="435" spans="3:11" ht="14.25" x14ac:dyDescent="0.2">
      <c r="C435" s="35"/>
      <c r="D435" s="31"/>
      <c r="E435" s="31"/>
      <c r="G435" s="36"/>
      <c r="H435" s="38"/>
      <c r="I435" s="38" t="str">
        <f t="shared" si="12"/>
        <v/>
      </c>
      <c r="K435" s="36"/>
    </row>
    <row r="436" spans="3:11" ht="14.25" x14ac:dyDescent="0.2">
      <c r="C436" s="35"/>
      <c r="D436" s="31"/>
      <c r="E436" s="31"/>
      <c r="G436" s="36"/>
      <c r="H436" s="38"/>
      <c r="I436" s="38" t="str">
        <f t="shared" si="12"/>
        <v/>
      </c>
      <c r="K436" s="36"/>
    </row>
    <row r="437" spans="3:11" ht="14.25" x14ac:dyDescent="0.2">
      <c r="C437" s="35"/>
      <c r="D437" s="31"/>
      <c r="E437" s="31"/>
      <c r="G437" s="36"/>
      <c r="H437" s="38"/>
      <c r="I437" s="38" t="str">
        <f t="shared" si="12"/>
        <v/>
      </c>
      <c r="K437" s="36"/>
    </row>
    <row r="438" spans="3:11" ht="14.25" x14ac:dyDescent="0.2">
      <c r="C438" s="35"/>
      <c r="D438" s="31"/>
      <c r="E438" s="31"/>
      <c r="G438" s="36"/>
      <c r="H438" s="38"/>
      <c r="I438" s="38" t="str">
        <f t="shared" si="12"/>
        <v/>
      </c>
      <c r="K438" s="36"/>
    </row>
    <row r="439" spans="3:11" ht="14.25" x14ac:dyDescent="0.2">
      <c r="C439" s="35"/>
      <c r="D439" s="31"/>
      <c r="E439" s="31"/>
      <c r="G439" s="36"/>
      <c r="H439" s="38"/>
      <c r="I439" s="38" t="str">
        <f t="shared" si="12"/>
        <v/>
      </c>
      <c r="K439" s="36"/>
    </row>
    <row r="440" spans="3:11" ht="14.25" x14ac:dyDescent="0.2">
      <c r="C440" s="35"/>
      <c r="D440" s="31"/>
      <c r="E440" s="31"/>
      <c r="G440" s="36"/>
      <c r="H440" s="38"/>
      <c r="I440" s="38" t="str">
        <f t="shared" si="12"/>
        <v/>
      </c>
      <c r="K440" s="36"/>
    </row>
    <row r="441" spans="3:11" ht="14.25" x14ac:dyDescent="0.2">
      <c r="C441" s="35"/>
      <c r="D441" s="31"/>
      <c r="E441" s="31"/>
      <c r="G441" s="36"/>
      <c r="H441" s="38"/>
      <c r="I441" s="38" t="str">
        <f t="shared" si="12"/>
        <v/>
      </c>
      <c r="K441" s="36"/>
    </row>
    <row r="442" spans="3:11" ht="14.25" x14ac:dyDescent="0.2">
      <c r="C442" s="35"/>
      <c r="D442" s="31"/>
      <c r="E442" s="31"/>
      <c r="G442" s="36"/>
      <c r="H442" s="38"/>
      <c r="I442" s="38" t="str">
        <f t="shared" si="12"/>
        <v/>
      </c>
      <c r="K442" s="36"/>
    </row>
    <row r="443" spans="3:11" ht="14.25" x14ac:dyDescent="0.2">
      <c r="C443" s="35"/>
      <c r="D443" s="31"/>
      <c r="E443" s="31"/>
      <c r="G443" s="36"/>
      <c r="H443" s="38"/>
      <c r="I443" s="38" t="str">
        <f t="shared" si="12"/>
        <v/>
      </c>
      <c r="K443" s="36"/>
    </row>
    <row r="444" spans="3:11" ht="14.25" x14ac:dyDescent="0.2">
      <c r="C444" s="35"/>
      <c r="D444" s="31"/>
      <c r="E444" s="31"/>
      <c r="G444" s="36"/>
      <c r="H444" s="38"/>
      <c r="I444" s="38" t="str">
        <f t="shared" si="12"/>
        <v/>
      </c>
      <c r="K444" s="36"/>
    </row>
    <row r="445" spans="3:11" ht="14.25" x14ac:dyDescent="0.2">
      <c r="C445" s="35"/>
      <c r="D445" s="31"/>
      <c r="E445" s="31"/>
      <c r="G445" s="36"/>
      <c r="H445" s="38"/>
      <c r="I445" s="38" t="str">
        <f t="shared" si="12"/>
        <v/>
      </c>
      <c r="K445" s="36"/>
    </row>
    <row r="446" spans="3:11" ht="14.25" x14ac:dyDescent="0.2">
      <c r="C446" s="35"/>
      <c r="D446" s="31"/>
      <c r="E446" s="31"/>
      <c r="G446" s="36"/>
      <c r="H446" s="38"/>
      <c r="I446" s="38" t="str">
        <f t="shared" si="12"/>
        <v/>
      </c>
      <c r="K446" s="36"/>
    </row>
    <row r="447" spans="3:11" ht="14.25" x14ac:dyDescent="0.2">
      <c r="C447" s="35"/>
      <c r="D447" s="31"/>
      <c r="E447" s="31"/>
      <c r="G447" s="36"/>
      <c r="H447" s="38"/>
      <c r="I447" s="38" t="str">
        <f t="shared" si="12"/>
        <v/>
      </c>
      <c r="K447" s="36"/>
    </row>
    <row r="448" spans="3:11" ht="14.25" x14ac:dyDescent="0.2">
      <c r="C448" s="35"/>
      <c r="D448" s="31"/>
      <c r="E448" s="31"/>
      <c r="G448" s="36"/>
      <c r="H448" s="38"/>
      <c r="I448" s="38" t="str">
        <f t="shared" si="12"/>
        <v/>
      </c>
      <c r="K448" s="36"/>
    </row>
    <row r="449" spans="3:11" ht="14.25" x14ac:dyDescent="0.2">
      <c r="C449" s="35"/>
      <c r="D449" s="31"/>
      <c r="E449" s="31"/>
      <c r="G449" s="36"/>
      <c r="H449" s="38"/>
      <c r="I449" s="38" t="str">
        <f t="shared" si="12"/>
        <v/>
      </c>
      <c r="K449" s="36"/>
    </row>
    <row r="450" spans="3:11" ht="14.25" x14ac:dyDescent="0.2">
      <c r="C450" s="35"/>
      <c r="D450" s="31"/>
      <c r="E450" s="31"/>
      <c r="G450" s="36"/>
      <c r="H450" s="38"/>
      <c r="I450" s="38" t="str">
        <f t="shared" si="12"/>
        <v/>
      </c>
      <c r="K450" s="36"/>
    </row>
    <row r="451" spans="3:11" ht="14.25" x14ac:dyDescent="0.2">
      <c r="C451" s="35"/>
      <c r="D451" s="31"/>
      <c r="E451" s="31"/>
      <c r="G451" s="36"/>
      <c r="H451" s="38"/>
      <c r="I451" s="38" t="str">
        <f t="shared" si="12"/>
        <v/>
      </c>
      <c r="K451" s="36"/>
    </row>
    <row r="452" spans="3:11" ht="14.25" x14ac:dyDescent="0.2">
      <c r="C452" s="35"/>
      <c r="D452" s="31"/>
      <c r="E452" s="31"/>
      <c r="G452" s="36"/>
      <c r="H452" s="38"/>
      <c r="I452" s="38" t="str">
        <f t="shared" si="12"/>
        <v/>
      </c>
      <c r="K452" s="36"/>
    </row>
    <row r="453" spans="3:11" ht="14.25" x14ac:dyDescent="0.2">
      <c r="C453" s="35"/>
      <c r="D453" s="31"/>
      <c r="E453" s="31"/>
      <c r="G453" s="36"/>
      <c r="H453" s="38"/>
      <c r="I453" s="38" t="str">
        <f t="shared" si="12"/>
        <v/>
      </c>
      <c r="K453" s="36"/>
    </row>
    <row r="454" spans="3:11" ht="14.25" x14ac:dyDescent="0.2">
      <c r="C454" s="35"/>
      <c r="D454" s="31"/>
      <c r="E454" s="31"/>
      <c r="G454" s="36"/>
      <c r="H454" s="38"/>
      <c r="I454" s="38" t="str">
        <f t="shared" si="12"/>
        <v/>
      </c>
      <c r="K454" s="36"/>
    </row>
    <row r="455" spans="3:11" ht="14.25" x14ac:dyDescent="0.2">
      <c r="C455" s="35"/>
      <c r="D455" s="31"/>
      <c r="E455" s="31"/>
      <c r="G455" s="36"/>
      <c r="H455" s="38"/>
      <c r="I455" s="38" t="str">
        <f t="shared" ref="I455:I518" si="13">IF(C455="","",I454+IF(D455="Ingreso",H455,-H455))</f>
        <v/>
      </c>
      <c r="K455" s="36"/>
    </row>
    <row r="456" spans="3:11" ht="14.25" x14ac:dyDescent="0.2">
      <c r="C456" s="35"/>
      <c r="D456" s="31"/>
      <c r="E456" s="31"/>
      <c r="G456" s="36"/>
      <c r="H456" s="38"/>
      <c r="I456" s="38" t="str">
        <f t="shared" si="13"/>
        <v/>
      </c>
      <c r="K456" s="36"/>
    </row>
    <row r="457" spans="3:11" ht="14.25" x14ac:dyDescent="0.2">
      <c r="C457" s="35"/>
      <c r="D457" s="31"/>
      <c r="E457" s="31"/>
      <c r="G457" s="36"/>
      <c r="H457" s="38"/>
      <c r="I457" s="38" t="str">
        <f t="shared" si="13"/>
        <v/>
      </c>
      <c r="K457" s="36"/>
    </row>
    <row r="458" spans="3:11" ht="14.25" x14ac:dyDescent="0.2">
      <c r="C458" s="35"/>
      <c r="D458" s="31"/>
      <c r="E458" s="31"/>
      <c r="G458" s="36"/>
      <c r="H458" s="38"/>
      <c r="I458" s="38" t="str">
        <f t="shared" si="13"/>
        <v/>
      </c>
      <c r="K458" s="36"/>
    </row>
    <row r="459" spans="3:11" ht="14.25" x14ac:dyDescent="0.2">
      <c r="C459" s="35"/>
      <c r="D459" s="31"/>
      <c r="E459" s="31"/>
      <c r="G459" s="36"/>
      <c r="H459" s="38"/>
      <c r="I459" s="38" t="str">
        <f t="shared" si="13"/>
        <v/>
      </c>
      <c r="K459" s="36"/>
    </row>
    <row r="460" spans="3:11" ht="14.25" x14ac:dyDescent="0.2">
      <c r="C460" s="35"/>
      <c r="D460" s="31"/>
      <c r="E460" s="31"/>
      <c r="G460" s="36"/>
      <c r="H460" s="38"/>
      <c r="I460" s="38" t="str">
        <f t="shared" si="13"/>
        <v/>
      </c>
      <c r="K460" s="36"/>
    </row>
    <row r="461" spans="3:11" ht="14.25" x14ac:dyDescent="0.2">
      <c r="C461" s="35"/>
      <c r="D461" s="31"/>
      <c r="E461" s="31"/>
      <c r="G461" s="36"/>
      <c r="H461" s="38"/>
      <c r="I461" s="38" t="str">
        <f t="shared" si="13"/>
        <v/>
      </c>
      <c r="K461" s="36"/>
    </row>
    <row r="462" spans="3:11" ht="14.25" x14ac:dyDescent="0.2">
      <c r="C462" s="35"/>
      <c r="D462" s="31"/>
      <c r="E462" s="31"/>
      <c r="G462" s="36"/>
      <c r="H462" s="38"/>
      <c r="I462" s="38" t="str">
        <f t="shared" si="13"/>
        <v/>
      </c>
      <c r="K462" s="36"/>
    </row>
    <row r="463" spans="3:11" ht="14.25" x14ac:dyDescent="0.2">
      <c r="C463" s="35"/>
      <c r="D463" s="31"/>
      <c r="E463" s="31"/>
      <c r="G463" s="36"/>
      <c r="H463" s="38"/>
      <c r="I463" s="38" t="str">
        <f t="shared" si="13"/>
        <v/>
      </c>
      <c r="K463" s="36"/>
    </row>
    <row r="464" spans="3:11" ht="14.25" x14ac:dyDescent="0.2">
      <c r="C464" s="35"/>
      <c r="D464" s="31"/>
      <c r="E464" s="31"/>
      <c r="G464" s="36"/>
      <c r="H464" s="38"/>
      <c r="I464" s="38" t="str">
        <f t="shared" si="13"/>
        <v/>
      </c>
      <c r="K464" s="36"/>
    </row>
    <row r="465" spans="3:11" ht="14.25" x14ac:dyDescent="0.2">
      <c r="C465" s="35"/>
      <c r="D465" s="31"/>
      <c r="E465" s="31"/>
      <c r="G465" s="36"/>
      <c r="H465" s="38"/>
      <c r="I465" s="38" t="str">
        <f t="shared" si="13"/>
        <v/>
      </c>
      <c r="K465" s="36"/>
    </row>
    <row r="466" spans="3:11" ht="14.25" x14ac:dyDescent="0.2">
      <c r="C466" s="35"/>
      <c r="D466" s="31"/>
      <c r="E466" s="31"/>
      <c r="G466" s="36"/>
      <c r="H466" s="38"/>
      <c r="I466" s="38" t="str">
        <f t="shared" si="13"/>
        <v/>
      </c>
      <c r="K466" s="36"/>
    </row>
    <row r="467" spans="3:11" ht="14.25" x14ac:dyDescent="0.2">
      <c r="C467" s="35"/>
      <c r="D467" s="31"/>
      <c r="E467" s="31"/>
      <c r="G467" s="36"/>
      <c r="H467" s="38"/>
      <c r="I467" s="38" t="str">
        <f t="shared" si="13"/>
        <v/>
      </c>
      <c r="K467" s="36"/>
    </row>
    <row r="468" spans="3:11" ht="14.25" x14ac:dyDescent="0.2">
      <c r="C468" s="35"/>
      <c r="D468" s="31"/>
      <c r="E468" s="31"/>
      <c r="G468" s="36"/>
      <c r="H468" s="38"/>
      <c r="I468" s="38" t="str">
        <f t="shared" si="13"/>
        <v/>
      </c>
      <c r="K468" s="36"/>
    </row>
    <row r="469" spans="3:11" ht="14.25" x14ac:dyDescent="0.2">
      <c r="C469" s="35"/>
      <c r="D469" s="31"/>
      <c r="E469" s="31"/>
      <c r="G469" s="36"/>
      <c r="H469" s="38"/>
      <c r="I469" s="38" t="str">
        <f t="shared" si="13"/>
        <v/>
      </c>
      <c r="K469" s="36"/>
    </row>
    <row r="470" spans="3:11" ht="14.25" x14ac:dyDescent="0.2">
      <c r="C470" s="35"/>
      <c r="D470" s="31"/>
      <c r="E470" s="31"/>
      <c r="G470" s="36"/>
      <c r="H470" s="38"/>
      <c r="I470" s="38" t="str">
        <f t="shared" si="13"/>
        <v/>
      </c>
      <c r="K470" s="36"/>
    </row>
    <row r="471" spans="3:11" ht="14.25" x14ac:dyDescent="0.2">
      <c r="C471" s="35"/>
      <c r="D471" s="31"/>
      <c r="E471" s="31"/>
      <c r="G471" s="36"/>
      <c r="H471" s="38"/>
      <c r="I471" s="38" t="str">
        <f t="shared" si="13"/>
        <v/>
      </c>
      <c r="K471" s="36"/>
    </row>
    <row r="472" spans="3:11" ht="14.25" x14ac:dyDescent="0.2">
      <c r="C472" s="35"/>
      <c r="D472" s="31"/>
      <c r="E472" s="31"/>
      <c r="G472" s="36"/>
      <c r="H472" s="38"/>
      <c r="I472" s="38" t="str">
        <f t="shared" si="13"/>
        <v/>
      </c>
      <c r="K472" s="36"/>
    </row>
    <row r="473" spans="3:11" ht="14.25" x14ac:dyDescent="0.2">
      <c r="C473" s="35"/>
      <c r="D473" s="31"/>
      <c r="E473" s="31"/>
      <c r="G473" s="36"/>
      <c r="H473" s="38"/>
      <c r="I473" s="38" t="str">
        <f t="shared" si="13"/>
        <v/>
      </c>
      <c r="K473" s="36"/>
    </row>
    <row r="474" spans="3:11" ht="14.25" x14ac:dyDescent="0.2">
      <c r="C474" s="35"/>
      <c r="D474" s="31"/>
      <c r="E474" s="31"/>
      <c r="G474" s="36"/>
      <c r="H474" s="38"/>
      <c r="I474" s="38" t="str">
        <f t="shared" si="13"/>
        <v/>
      </c>
      <c r="K474" s="36"/>
    </row>
    <row r="475" spans="3:11" ht="14.25" x14ac:dyDescent="0.2">
      <c r="C475" s="35"/>
      <c r="D475" s="31"/>
      <c r="E475" s="31"/>
      <c r="G475" s="36"/>
      <c r="H475" s="38"/>
      <c r="I475" s="38" t="str">
        <f t="shared" si="13"/>
        <v/>
      </c>
      <c r="K475" s="36"/>
    </row>
    <row r="476" spans="3:11" ht="14.25" x14ac:dyDescent="0.2">
      <c r="C476" s="35"/>
      <c r="D476" s="31"/>
      <c r="E476" s="31"/>
      <c r="G476" s="36"/>
      <c r="H476" s="38"/>
      <c r="I476" s="38" t="str">
        <f t="shared" si="13"/>
        <v/>
      </c>
      <c r="K476" s="36"/>
    </row>
    <row r="477" spans="3:11" ht="14.25" x14ac:dyDescent="0.2">
      <c r="C477" s="35"/>
      <c r="D477" s="31"/>
      <c r="E477" s="31"/>
      <c r="G477" s="36"/>
      <c r="H477" s="38"/>
      <c r="I477" s="38" t="str">
        <f t="shared" si="13"/>
        <v/>
      </c>
      <c r="K477" s="36"/>
    </row>
    <row r="478" spans="3:11" ht="14.25" x14ac:dyDescent="0.2">
      <c r="C478" s="35"/>
      <c r="D478" s="31"/>
      <c r="E478" s="31"/>
      <c r="G478" s="36"/>
      <c r="H478" s="38"/>
      <c r="I478" s="38" t="str">
        <f t="shared" si="13"/>
        <v/>
      </c>
      <c r="K478" s="36"/>
    </row>
    <row r="479" spans="3:11" ht="14.25" x14ac:dyDescent="0.2">
      <c r="C479" s="35"/>
      <c r="D479" s="31"/>
      <c r="E479" s="31"/>
      <c r="G479" s="36"/>
      <c r="H479" s="38"/>
      <c r="I479" s="38" t="str">
        <f t="shared" si="13"/>
        <v/>
      </c>
      <c r="K479" s="36"/>
    </row>
    <row r="480" spans="3:11" ht="14.25" x14ac:dyDescent="0.2">
      <c r="C480" s="35"/>
      <c r="D480" s="31"/>
      <c r="E480" s="31"/>
      <c r="G480" s="36"/>
      <c r="H480" s="38"/>
      <c r="I480" s="38" t="str">
        <f t="shared" si="13"/>
        <v/>
      </c>
      <c r="K480" s="36"/>
    </row>
    <row r="481" spans="3:11" ht="14.25" x14ac:dyDescent="0.2">
      <c r="C481" s="35"/>
      <c r="D481" s="31"/>
      <c r="E481" s="31"/>
      <c r="G481" s="36"/>
      <c r="H481" s="38"/>
      <c r="I481" s="38" t="str">
        <f t="shared" si="13"/>
        <v/>
      </c>
      <c r="K481" s="36"/>
    </row>
    <row r="482" spans="3:11" ht="14.25" x14ac:dyDescent="0.2">
      <c r="C482" s="35"/>
      <c r="D482" s="31"/>
      <c r="E482" s="31"/>
      <c r="G482" s="36"/>
      <c r="H482" s="38"/>
      <c r="I482" s="38" t="str">
        <f t="shared" si="13"/>
        <v/>
      </c>
      <c r="K482" s="36"/>
    </row>
    <row r="483" spans="3:11" ht="14.25" x14ac:dyDescent="0.2">
      <c r="C483" s="35"/>
      <c r="D483" s="31"/>
      <c r="E483" s="31"/>
      <c r="G483" s="36"/>
      <c r="H483" s="38"/>
      <c r="I483" s="38" t="str">
        <f t="shared" si="13"/>
        <v/>
      </c>
      <c r="K483" s="36"/>
    </row>
    <row r="484" spans="3:11" ht="14.25" x14ac:dyDescent="0.2">
      <c r="C484" s="35"/>
      <c r="D484" s="31"/>
      <c r="E484" s="31"/>
      <c r="G484" s="36"/>
      <c r="H484" s="38"/>
      <c r="I484" s="38" t="str">
        <f t="shared" si="13"/>
        <v/>
      </c>
      <c r="K484" s="36"/>
    </row>
    <row r="485" spans="3:11" ht="14.25" x14ac:dyDescent="0.2">
      <c r="C485" s="35"/>
      <c r="D485" s="31"/>
      <c r="E485" s="31"/>
      <c r="G485" s="36"/>
      <c r="H485" s="38"/>
      <c r="I485" s="38" t="str">
        <f t="shared" si="13"/>
        <v/>
      </c>
      <c r="K485" s="36"/>
    </row>
    <row r="486" spans="3:11" ht="14.25" x14ac:dyDescent="0.2">
      <c r="C486" s="35"/>
      <c r="D486" s="31"/>
      <c r="E486" s="31"/>
      <c r="G486" s="36"/>
      <c r="H486" s="38"/>
      <c r="I486" s="38" t="str">
        <f t="shared" si="13"/>
        <v/>
      </c>
      <c r="K486" s="36"/>
    </row>
    <row r="487" spans="3:11" ht="14.25" x14ac:dyDescent="0.2">
      <c r="C487" s="35"/>
      <c r="D487" s="31"/>
      <c r="E487" s="31"/>
      <c r="G487" s="36"/>
      <c r="H487" s="38"/>
      <c r="I487" s="38" t="str">
        <f t="shared" si="13"/>
        <v/>
      </c>
      <c r="K487" s="36"/>
    </row>
    <row r="488" spans="3:11" ht="14.25" x14ac:dyDescent="0.2">
      <c r="C488" s="35"/>
      <c r="D488" s="31"/>
      <c r="E488" s="31"/>
      <c r="G488" s="36"/>
      <c r="H488" s="38"/>
      <c r="I488" s="38" t="str">
        <f t="shared" si="13"/>
        <v/>
      </c>
      <c r="K488" s="36"/>
    </row>
    <row r="489" spans="3:11" ht="14.25" x14ac:dyDescent="0.2">
      <c r="C489" s="35"/>
      <c r="D489" s="31"/>
      <c r="E489" s="31"/>
      <c r="G489" s="36"/>
      <c r="H489" s="38"/>
      <c r="I489" s="38" t="str">
        <f t="shared" si="13"/>
        <v/>
      </c>
      <c r="K489" s="36"/>
    </row>
    <row r="490" spans="3:11" ht="14.25" x14ac:dyDescent="0.2">
      <c r="C490" s="35"/>
      <c r="D490" s="31"/>
      <c r="E490" s="31"/>
      <c r="G490" s="36"/>
      <c r="H490" s="38"/>
      <c r="I490" s="38" t="str">
        <f t="shared" si="13"/>
        <v/>
      </c>
      <c r="K490" s="36"/>
    </row>
    <row r="491" spans="3:11" ht="14.25" x14ac:dyDescent="0.2">
      <c r="C491" s="35"/>
      <c r="D491" s="31"/>
      <c r="E491" s="31"/>
      <c r="G491" s="36"/>
      <c r="H491" s="38"/>
      <c r="I491" s="38" t="str">
        <f t="shared" si="13"/>
        <v/>
      </c>
      <c r="K491" s="36"/>
    </row>
    <row r="492" spans="3:11" ht="14.25" x14ac:dyDescent="0.2">
      <c r="C492" s="35"/>
      <c r="D492" s="31"/>
      <c r="E492" s="31"/>
      <c r="G492" s="36"/>
      <c r="H492" s="38"/>
      <c r="I492" s="38" t="str">
        <f t="shared" si="13"/>
        <v/>
      </c>
      <c r="K492" s="36"/>
    </row>
    <row r="493" spans="3:11" ht="14.25" x14ac:dyDescent="0.2">
      <c r="C493" s="35"/>
      <c r="D493" s="31"/>
      <c r="E493" s="31"/>
      <c r="G493" s="36"/>
      <c r="H493" s="38"/>
      <c r="I493" s="38" t="str">
        <f t="shared" si="13"/>
        <v/>
      </c>
      <c r="K493" s="36"/>
    </row>
    <row r="494" spans="3:11" ht="14.25" x14ac:dyDescent="0.2">
      <c r="C494" s="35"/>
      <c r="D494" s="31"/>
      <c r="E494" s="31"/>
      <c r="G494" s="36"/>
      <c r="H494" s="38"/>
      <c r="I494" s="38" t="str">
        <f t="shared" si="13"/>
        <v/>
      </c>
      <c r="K494" s="36"/>
    </row>
    <row r="495" spans="3:11" ht="14.25" x14ac:dyDescent="0.2">
      <c r="C495" s="35"/>
      <c r="D495" s="31"/>
      <c r="E495" s="31"/>
      <c r="G495" s="36"/>
      <c r="H495" s="38"/>
      <c r="I495" s="38" t="str">
        <f t="shared" si="13"/>
        <v/>
      </c>
      <c r="K495" s="36"/>
    </row>
    <row r="496" spans="3:11" ht="14.25" x14ac:dyDescent="0.2">
      <c r="C496" s="35"/>
      <c r="D496" s="31"/>
      <c r="E496" s="31"/>
      <c r="G496" s="36"/>
      <c r="H496" s="38"/>
      <c r="I496" s="38" t="str">
        <f t="shared" si="13"/>
        <v/>
      </c>
      <c r="K496" s="36"/>
    </row>
    <row r="497" spans="3:11" ht="14.25" x14ac:dyDescent="0.2">
      <c r="C497" s="35"/>
      <c r="D497" s="31"/>
      <c r="E497" s="31"/>
      <c r="G497" s="36"/>
      <c r="H497" s="38"/>
      <c r="I497" s="38" t="str">
        <f t="shared" si="13"/>
        <v/>
      </c>
      <c r="K497" s="36"/>
    </row>
    <row r="498" spans="3:11" ht="14.25" x14ac:dyDescent="0.2">
      <c r="C498" s="35"/>
      <c r="D498" s="31"/>
      <c r="E498" s="31"/>
      <c r="G498" s="36"/>
      <c r="H498" s="38"/>
      <c r="I498" s="38" t="str">
        <f t="shared" si="13"/>
        <v/>
      </c>
      <c r="K498" s="36"/>
    </row>
    <row r="499" spans="3:11" ht="14.25" x14ac:dyDescent="0.2">
      <c r="C499" s="35"/>
      <c r="D499" s="31"/>
      <c r="E499" s="31"/>
      <c r="G499" s="36"/>
      <c r="H499" s="38"/>
      <c r="I499" s="38" t="str">
        <f t="shared" si="13"/>
        <v/>
      </c>
      <c r="K499" s="36"/>
    </row>
    <row r="500" spans="3:11" ht="14.25" x14ac:dyDescent="0.2">
      <c r="C500" s="35"/>
      <c r="D500" s="31"/>
      <c r="E500" s="31"/>
      <c r="G500" s="36"/>
      <c r="H500" s="38"/>
      <c r="I500" s="38" t="str">
        <f t="shared" si="13"/>
        <v/>
      </c>
      <c r="K500" s="36"/>
    </row>
    <row r="501" spans="3:11" ht="14.25" x14ac:dyDescent="0.2">
      <c r="D501" s="31"/>
      <c r="E501" s="31"/>
    </row>
    <row r="502" spans="3:11" ht="14.25" x14ac:dyDescent="0.2">
      <c r="D502" s="31"/>
      <c r="E502" s="31"/>
    </row>
    <row r="503" spans="3:11" ht="14.25" x14ac:dyDescent="0.2">
      <c r="D503" s="31"/>
      <c r="E503" s="31"/>
    </row>
    <row r="504" spans="3:11" ht="14.25" x14ac:dyDescent="0.2">
      <c r="D504" s="31"/>
      <c r="E504" s="31"/>
    </row>
    <row r="505" spans="3:11" ht="14.25" x14ac:dyDescent="0.2">
      <c r="D505" s="31"/>
      <c r="E505" s="31"/>
    </row>
    <row r="506" spans="3:11" ht="14.25" x14ac:dyDescent="0.2">
      <c r="D506" s="31"/>
      <c r="E506" s="31"/>
    </row>
    <row r="507" spans="3:11" ht="14.25" x14ac:dyDescent="0.2">
      <c r="D507" s="31"/>
      <c r="E507" s="31"/>
    </row>
    <row r="508" spans="3:11" ht="14.25" x14ac:dyDescent="0.2">
      <c r="D508" s="31"/>
      <c r="E508" s="31"/>
    </row>
    <row r="509" spans="3:11" ht="14.25" x14ac:dyDescent="0.2">
      <c r="D509" s="31"/>
      <c r="E509" s="31"/>
    </row>
    <row r="510" spans="3:11" ht="14.25" x14ac:dyDescent="0.2">
      <c r="D510" s="31"/>
      <c r="E510" s="31"/>
    </row>
    <row r="511" spans="3:11" ht="14.25" x14ac:dyDescent="0.2">
      <c r="D511" s="31"/>
      <c r="E511" s="31"/>
    </row>
    <row r="512" spans="3:11" ht="14.25" x14ac:dyDescent="0.2">
      <c r="D512" s="31"/>
      <c r="E512" s="31"/>
    </row>
    <row r="513" spans="4:5" ht="14.25" x14ac:dyDescent="0.2">
      <c r="D513" s="31"/>
      <c r="E513" s="31"/>
    </row>
    <row r="514" spans="4:5" ht="14.25" x14ac:dyDescent="0.2">
      <c r="D514" s="31"/>
      <c r="E514" s="31"/>
    </row>
    <row r="515" spans="4:5" ht="14.25" x14ac:dyDescent="0.2">
      <c r="D515" s="31"/>
      <c r="E515" s="31"/>
    </row>
    <row r="516" spans="4:5" ht="14.25" x14ac:dyDescent="0.2">
      <c r="D516" s="31"/>
      <c r="E516" s="31"/>
    </row>
    <row r="517" spans="4:5" ht="14.25" x14ac:dyDescent="0.2">
      <c r="D517" s="31"/>
      <c r="E517" s="31"/>
    </row>
    <row r="518" spans="4:5" ht="14.25" x14ac:dyDescent="0.2">
      <c r="D518" s="31"/>
      <c r="E518" s="31"/>
    </row>
    <row r="519" spans="4:5" ht="14.25" x14ac:dyDescent="0.2">
      <c r="D519" s="31"/>
      <c r="E519" s="31"/>
    </row>
    <row r="520" spans="4:5" ht="14.25" x14ac:dyDescent="0.2">
      <c r="D520" s="31"/>
      <c r="E520" s="31"/>
    </row>
    <row r="521" spans="4:5" ht="14.25" x14ac:dyDescent="0.2">
      <c r="D521" s="31"/>
      <c r="E521" s="31"/>
    </row>
    <row r="522" spans="4:5" ht="14.25" x14ac:dyDescent="0.2">
      <c r="D522" s="31"/>
      <c r="E522" s="31"/>
    </row>
    <row r="523" spans="4:5" ht="14.25" x14ac:dyDescent="0.2">
      <c r="D523" s="31"/>
      <c r="E523" s="31"/>
    </row>
    <row r="524" spans="4:5" ht="14.25" x14ac:dyDescent="0.2">
      <c r="D524" s="31"/>
      <c r="E524" s="31"/>
    </row>
    <row r="525" spans="4:5" ht="14.25" x14ac:dyDescent="0.2">
      <c r="D525" s="31"/>
      <c r="E525" s="31"/>
    </row>
    <row r="526" spans="4:5" ht="14.25" x14ac:dyDescent="0.2">
      <c r="D526" s="31"/>
      <c r="E526" s="31"/>
    </row>
    <row r="527" spans="4:5" ht="14.25" x14ac:dyDescent="0.2">
      <c r="D527" s="31"/>
      <c r="E527" s="31"/>
    </row>
    <row r="528" spans="4:5" ht="14.25" x14ac:dyDescent="0.2">
      <c r="D528" s="31"/>
      <c r="E528" s="31"/>
    </row>
    <row r="529" spans="4:5" ht="14.25" x14ac:dyDescent="0.2">
      <c r="D529" s="31"/>
      <c r="E529" s="31"/>
    </row>
    <row r="530" spans="4:5" ht="14.25" x14ac:dyDescent="0.2">
      <c r="D530" s="31"/>
      <c r="E530" s="31"/>
    </row>
    <row r="531" spans="4:5" ht="14.25" x14ac:dyDescent="0.2">
      <c r="D531" s="31"/>
      <c r="E531" s="31"/>
    </row>
    <row r="532" spans="4:5" ht="14.25" x14ac:dyDescent="0.2">
      <c r="D532" s="31"/>
      <c r="E532" s="31"/>
    </row>
    <row r="533" spans="4:5" ht="14.25" x14ac:dyDescent="0.2">
      <c r="D533" s="31"/>
      <c r="E533" s="31"/>
    </row>
    <row r="534" spans="4:5" ht="14.25" x14ac:dyDescent="0.2">
      <c r="D534" s="31"/>
      <c r="E534" s="31"/>
    </row>
    <row r="535" spans="4:5" ht="14.25" x14ac:dyDescent="0.2">
      <c r="D535" s="31"/>
      <c r="E535" s="31"/>
    </row>
    <row r="536" spans="4:5" ht="14.25" x14ac:dyDescent="0.2">
      <c r="D536" s="31"/>
      <c r="E536" s="31"/>
    </row>
    <row r="537" spans="4:5" ht="14.25" x14ac:dyDescent="0.2">
      <c r="D537" s="31"/>
      <c r="E537" s="31"/>
    </row>
    <row r="538" spans="4:5" ht="14.25" x14ac:dyDescent="0.2">
      <c r="D538" s="31"/>
      <c r="E538" s="31"/>
    </row>
    <row r="539" spans="4:5" ht="14.25" x14ac:dyDescent="0.2">
      <c r="D539" s="31"/>
      <c r="E539" s="31"/>
    </row>
    <row r="540" spans="4:5" ht="14.25" x14ac:dyDescent="0.2">
      <c r="D540" s="31"/>
      <c r="E540" s="31"/>
    </row>
    <row r="541" spans="4:5" ht="14.25" x14ac:dyDescent="0.2">
      <c r="D541" s="31"/>
      <c r="E541" s="31"/>
    </row>
    <row r="542" spans="4:5" ht="14.25" x14ac:dyDescent="0.2">
      <c r="D542" s="31"/>
      <c r="E542" s="31"/>
    </row>
    <row r="543" spans="4:5" ht="14.25" x14ac:dyDescent="0.2">
      <c r="D543" s="31"/>
      <c r="E543" s="31"/>
    </row>
    <row r="544" spans="4:5" ht="14.25" x14ac:dyDescent="0.2">
      <c r="D544" s="31"/>
      <c r="E544" s="31"/>
    </row>
    <row r="545" spans="4:5" ht="14.25" x14ac:dyDescent="0.2">
      <c r="D545" s="31"/>
      <c r="E545" s="31"/>
    </row>
    <row r="546" spans="4:5" ht="14.25" x14ac:dyDescent="0.2">
      <c r="D546" s="31"/>
      <c r="E546" s="31"/>
    </row>
    <row r="547" spans="4:5" ht="14.25" x14ac:dyDescent="0.2">
      <c r="D547" s="31"/>
      <c r="E547" s="31"/>
    </row>
    <row r="548" spans="4:5" ht="14.25" x14ac:dyDescent="0.2">
      <c r="D548" s="31"/>
      <c r="E548" s="31"/>
    </row>
    <row r="549" spans="4:5" ht="14.25" x14ac:dyDescent="0.2">
      <c r="D549" s="31"/>
      <c r="E549" s="31"/>
    </row>
    <row r="550" spans="4:5" ht="14.25" x14ac:dyDescent="0.2">
      <c r="D550" s="31"/>
      <c r="E550" s="31"/>
    </row>
    <row r="551" spans="4:5" ht="14.25" x14ac:dyDescent="0.2">
      <c r="D551" s="31"/>
      <c r="E551" s="31"/>
    </row>
    <row r="552" spans="4:5" ht="14.25" x14ac:dyDescent="0.2">
      <c r="D552" s="31"/>
      <c r="E552" s="31"/>
    </row>
    <row r="553" spans="4:5" ht="14.25" x14ac:dyDescent="0.2">
      <c r="D553" s="31"/>
      <c r="E553" s="31"/>
    </row>
    <row r="554" spans="4:5" ht="14.25" x14ac:dyDescent="0.2">
      <c r="D554" s="31"/>
      <c r="E554" s="31"/>
    </row>
    <row r="555" spans="4:5" ht="14.25" x14ac:dyDescent="0.2">
      <c r="D555" s="31"/>
      <c r="E555" s="31"/>
    </row>
    <row r="556" spans="4:5" ht="14.25" x14ac:dyDescent="0.2">
      <c r="D556" s="31"/>
      <c r="E556" s="31"/>
    </row>
    <row r="557" spans="4:5" ht="14.25" x14ac:dyDescent="0.2">
      <c r="D557" s="31"/>
      <c r="E557" s="31"/>
    </row>
    <row r="558" spans="4:5" ht="14.25" x14ac:dyDescent="0.2">
      <c r="D558" s="31"/>
      <c r="E558" s="31"/>
    </row>
    <row r="559" spans="4:5" ht="14.25" x14ac:dyDescent="0.2">
      <c r="D559" s="31"/>
      <c r="E559" s="31"/>
    </row>
    <row r="560" spans="4:5" ht="14.25" x14ac:dyDescent="0.2">
      <c r="D560" s="31"/>
      <c r="E560" s="31"/>
    </row>
    <row r="561" spans="4:5" ht="14.25" x14ac:dyDescent="0.2">
      <c r="D561" s="31"/>
      <c r="E561" s="31"/>
    </row>
    <row r="562" spans="4:5" ht="14.25" x14ac:dyDescent="0.2">
      <c r="D562" s="31"/>
      <c r="E562" s="31"/>
    </row>
    <row r="563" spans="4:5" ht="14.25" x14ac:dyDescent="0.2">
      <c r="D563" s="31"/>
      <c r="E563" s="31"/>
    </row>
    <row r="564" spans="4:5" ht="14.25" x14ac:dyDescent="0.2">
      <c r="D564" s="31"/>
      <c r="E564" s="31"/>
    </row>
    <row r="565" spans="4:5" ht="14.25" x14ac:dyDescent="0.2">
      <c r="D565" s="31"/>
      <c r="E565" s="31"/>
    </row>
    <row r="566" spans="4:5" ht="14.25" x14ac:dyDescent="0.2">
      <c r="D566" s="31"/>
      <c r="E566" s="31"/>
    </row>
    <row r="567" spans="4:5" ht="14.25" x14ac:dyDescent="0.2">
      <c r="D567" s="31"/>
      <c r="E567" s="31"/>
    </row>
    <row r="568" spans="4:5" ht="14.25" x14ac:dyDescent="0.2">
      <c r="D568" s="31"/>
      <c r="E568" s="31"/>
    </row>
    <row r="569" spans="4:5" ht="14.25" x14ac:dyDescent="0.2">
      <c r="D569" s="31"/>
      <c r="E569" s="31"/>
    </row>
    <row r="570" spans="4:5" ht="14.25" x14ac:dyDescent="0.2">
      <c r="D570" s="31"/>
      <c r="E570" s="31"/>
    </row>
    <row r="571" spans="4:5" ht="14.25" x14ac:dyDescent="0.2">
      <c r="D571" s="31"/>
      <c r="E571" s="31"/>
    </row>
    <row r="572" spans="4:5" ht="14.25" x14ac:dyDescent="0.2">
      <c r="D572" s="31"/>
      <c r="E572" s="31"/>
    </row>
    <row r="573" spans="4:5" ht="14.25" x14ac:dyDescent="0.2">
      <c r="D573" s="31"/>
      <c r="E573" s="31"/>
    </row>
    <row r="574" spans="4:5" ht="14.25" x14ac:dyDescent="0.2">
      <c r="D574" s="31"/>
      <c r="E574" s="31"/>
    </row>
    <row r="575" spans="4:5" ht="14.25" x14ac:dyDescent="0.2">
      <c r="D575" s="31"/>
      <c r="E575" s="31"/>
    </row>
    <row r="576" spans="4:5" ht="14.25" x14ac:dyDescent="0.2">
      <c r="D576" s="31"/>
      <c r="E576" s="31"/>
    </row>
    <row r="577" spans="4:5" ht="14.25" x14ac:dyDescent="0.2">
      <c r="D577" s="31"/>
      <c r="E577" s="31"/>
    </row>
    <row r="578" spans="4:5" ht="14.25" x14ac:dyDescent="0.2">
      <c r="D578" s="31"/>
      <c r="E578" s="31"/>
    </row>
    <row r="579" spans="4:5" ht="14.25" x14ac:dyDescent="0.2">
      <c r="D579" s="31"/>
      <c r="E579" s="31"/>
    </row>
    <row r="580" spans="4:5" ht="14.25" x14ac:dyDescent="0.2">
      <c r="D580" s="31"/>
      <c r="E580" s="31"/>
    </row>
    <row r="581" spans="4:5" ht="14.25" x14ac:dyDescent="0.2">
      <c r="D581" s="31"/>
      <c r="E581" s="31"/>
    </row>
    <row r="582" spans="4:5" ht="14.25" x14ac:dyDescent="0.2">
      <c r="D582" s="31"/>
      <c r="E582" s="31"/>
    </row>
    <row r="583" spans="4:5" ht="14.25" x14ac:dyDescent="0.2">
      <c r="D583" s="31"/>
      <c r="E583" s="31"/>
    </row>
    <row r="584" spans="4:5" ht="14.25" x14ac:dyDescent="0.2">
      <c r="D584" s="31"/>
      <c r="E584" s="31"/>
    </row>
    <row r="585" spans="4:5" ht="14.25" x14ac:dyDescent="0.2">
      <c r="D585" s="31"/>
      <c r="E585" s="31"/>
    </row>
    <row r="586" spans="4:5" ht="14.25" x14ac:dyDescent="0.2">
      <c r="D586" s="31"/>
      <c r="E586" s="31"/>
    </row>
    <row r="587" spans="4:5" ht="14.25" x14ac:dyDescent="0.2">
      <c r="D587" s="31"/>
      <c r="E587" s="31"/>
    </row>
    <row r="588" spans="4:5" ht="14.25" x14ac:dyDescent="0.2">
      <c r="D588" s="31"/>
      <c r="E588" s="31"/>
    </row>
    <row r="589" spans="4:5" ht="14.25" x14ac:dyDescent="0.2">
      <c r="D589" s="31"/>
      <c r="E589" s="31"/>
    </row>
    <row r="590" spans="4:5" ht="14.25" x14ac:dyDescent="0.2">
      <c r="D590" s="31"/>
      <c r="E590" s="31"/>
    </row>
    <row r="591" spans="4:5" ht="14.25" x14ac:dyDescent="0.2">
      <c r="D591" s="31"/>
      <c r="E591" s="31"/>
    </row>
    <row r="592" spans="4:5" ht="14.25" x14ac:dyDescent="0.2">
      <c r="D592" s="31"/>
      <c r="E592" s="31"/>
    </row>
    <row r="593" spans="4:5" ht="14.25" x14ac:dyDescent="0.2">
      <c r="D593" s="31"/>
      <c r="E593" s="31"/>
    </row>
    <row r="594" spans="4:5" ht="14.25" x14ac:dyDescent="0.2">
      <c r="D594" s="31"/>
      <c r="E594" s="31"/>
    </row>
    <row r="595" spans="4:5" ht="14.25" x14ac:dyDescent="0.2">
      <c r="D595" s="31"/>
      <c r="E595" s="31"/>
    </row>
    <row r="596" spans="4:5" ht="14.25" x14ac:dyDescent="0.2">
      <c r="D596" s="31"/>
      <c r="E596" s="31"/>
    </row>
    <row r="597" spans="4:5" ht="14.25" x14ac:dyDescent="0.2">
      <c r="D597" s="31"/>
      <c r="E597" s="31"/>
    </row>
    <row r="598" spans="4:5" ht="14.25" x14ac:dyDescent="0.2">
      <c r="D598" s="31"/>
      <c r="E598" s="31"/>
    </row>
    <row r="599" spans="4:5" ht="14.25" x14ac:dyDescent="0.2">
      <c r="D599" s="31"/>
      <c r="E599" s="31"/>
    </row>
    <row r="600" spans="4:5" ht="14.25" x14ac:dyDescent="0.2">
      <c r="D600" s="31"/>
      <c r="E600" s="31"/>
    </row>
    <row r="601" spans="4:5" ht="14.25" x14ac:dyDescent="0.2">
      <c r="D601" s="31"/>
      <c r="E601" s="31"/>
    </row>
    <row r="602" spans="4:5" ht="14.25" x14ac:dyDescent="0.2">
      <c r="D602" s="31"/>
      <c r="E602" s="31"/>
    </row>
    <row r="603" spans="4:5" ht="14.25" x14ac:dyDescent="0.2">
      <c r="D603" s="31"/>
      <c r="E603" s="31"/>
    </row>
    <row r="604" spans="4:5" ht="14.25" x14ac:dyDescent="0.2">
      <c r="D604" s="31"/>
      <c r="E604" s="31"/>
    </row>
    <row r="605" spans="4:5" ht="14.25" x14ac:dyDescent="0.2">
      <c r="D605" s="31"/>
      <c r="E605" s="31"/>
    </row>
    <row r="606" spans="4:5" ht="14.25" x14ac:dyDescent="0.2">
      <c r="D606" s="31"/>
      <c r="E606" s="31"/>
    </row>
    <row r="607" spans="4:5" ht="14.25" x14ac:dyDescent="0.2">
      <c r="D607" s="31"/>
      <c r="E607" s="31"/>
    </row>
    <row r="608" spans="4:5" ht="14.25" x14ac:dyDescent="0.2">
      <c r="D608" s="31"/>
      <c r="E608" s="31"/>
    </row>
    <row r="609" spans="4:5" ht="14.25" x14ac:dyDescent="0.2">
      <c r="D609" s="31"/>
      <c r="E609" s="31"/>
    </row>
    <row r="610" spans="4:5" ht="14.25" x14ac:dyDescent="0.2">
      <c r="D610" s="31"/>
      <c r="E610" s="31"/>
    </row>
    <row r="611" spans="4:5" ht="14.25" x14ac:dyDescent="0.2">
      <c r="D611" s="31"/>
      <c r="E611" s="31"/>
    </row>
    <row r="612" spans="4:5" ht="14.25" x14ac:dyDescent="0.2">
      <c r="D612" s="31"/>
      <c r="E612" s="31"/>
    </row>
    <row r="613" spans="4:5" ht="14.25" x14ac:dyDescent="0.2">
      <c r="D613" s="31"/>
      <c r="E613" s="31"/>
    </row>
    <row r="614" spans="4:5" ht="14.25" x14ac:dyDescent="0.2">
      <c r="D614" s="31"/>
      <c r="E614" s="31"/>
    </row>
    <row r="615" spans="4:5" ht="14.25" x14ac:dyDescent="0.2">
      <c r="D615" s="31"/>
      <c r="E615" s="31"/>
    </row>
    <row r="616" spans="4:5" ht="14.25" x14ac:dyDescent="0.2">
      <c r="D616" s="31"/>
      <c r="E616" s="31"/>
    </row>
    <row r="617" spans="4:5" ht="14.25" x14ac:dyDescent="0.2">
      <c r="D617" s="31"/>
      <c r="E617" s="31"/>
    </row>
    <row r="618" spans="4:5" ht="14.25" x14ac:dyDescent="0.2">
      <c r="D618" s="31"/>
      <c r="E618" s="31"/>
    </row>
    <row r="619" spans="4:5" ht="14.25" x14ac:dyDescent="0.2">
      <c r="D619" s="31"/>
      <c r="E619" s="31"/>
    </row>
    <row r="620" spans="4:5" ht="14.25" x14ac:dyDescent="0.2">
      <c r="D620" s="31"/>
      <c r="E620" s="31"/>
    </row>
    <row r="621" spans="4:5" ht="14.25" x14ac:dyDescent="0.2">
      <c r="D621" s="31"/>
      <c r="E621" s="31"/>
    </row>
    <row r="622" spans="4:5" ht="14.25" x14ac:dyDescent="0.2">
      <c r="D622" s="31"/>
      <c r="E622" s="31"/>
    </row>
    <row r="623" spans="4:5" ht="14.25" x14ac:dyDescent="0.2">
      <c r="D623" s="31"/>
      <c r="E623" s="31"/>
    </row>
    <row r="624" spans="4:5" ht="14.25" x14ac:dyDescent="0.2">
      <c r="D624" s="31"/>
      <c r="E624" s="31"/>
    </row>
    <row r="625" spans="4:5" ht="14.25" x14ac:dyDescent="0.2">
      <c r="D625" s="31"/>
      <c r="E625" s="31"/>
    </row>
    <row r="626" spans="4:5" ht="14.25" x14ac:dyDescent="0.2">
      <c r="D626" s="31"/>
      <c r="E626" s="31"/>
    </row>
    <row r="627" spans="4:5" ht="14.25" x14ac:dyDescent="0.2">
      <c r="D627" s="31"/>
      <c r="E627" s="31"/>
    </row>
    <row r="628" spans="4:5" ht="14.25" x14ac:dyDescent="0.2">
      <c r="D628" s="31"/>
      <c r="E628" s="31"/>
    </row>
    <row r="629" spans="4:5" ht="14.25" x14ac:dyDescent="0.2">
      <c r="D629" s="31"/>
      <c r="E629" s="31"/>
    </row>
    <row r="630" spans="4:5" ht="14.25" x14ac:dyDescent="0.2">
      <c r="D630" s="31"/>
      <c r="E630" s="31"/>
    </row>
    <row r="631" spans="4:5" ht="14.25" x14ac:dyDescent="0.2">
      <c r="D631" s="31"/>
      <c r="E631" s="31"/>
    </row>
    <row r="632" spans="4:5" ht="14.25" x14ac:dyDescent="0.2">
      <c r="D632" s="31"/>
      <c r="E632" s="31"/>
    </row>
    <row r="633" spans="4:5" ht="14.25" x14ac:dyDescent="0.2">
      <c r="D633" s="31"/>
      <c r="E633" s="31"/>
    </row>
    <row r="634" spans="4:5" ht="14.25" x14ac:dyDescent="0.2">
      <c r="D634" s="31"/>
      <c r="E634" s="31"/>
    </row>
    <row r="635" spans="4:5" ht="14.25" x14ac:dyDescent="0.2">
      <c r="D635" s="31"/>
      <c r="E635" s="31"/>
    </row>
    <row r="636" spans="4:5" ht="14.25" x14ac:dyDescent="0.2">
      <c r="D636" s="31"/>
      <c r="E636" s="31"/>
    </row>
    <row r="637" spans="4:5" ht="14.25" x14ac:dyDescent="0.2">
      <c r="D637" s="31"/>
      <c r="E637" s="31"/>
    </row>
    <row r="638" spans="4:5" ht="14.25" x14ac:dyDescent="0.2">
      <c r="D638" s="31"/>
      <c r="E638" s="31"/>
    </row>
    <row r="639" spans="4:5" ht="14.25" x14ac:dyDescent="0.2">
      <c r="D639" s="31"/>
      <c r="E639" s="31"/>
    </row>
    <row r="640" spans="4:5" ht="14.25" x14ac:dyDescent="0.2">
      <c r="D640" s="31"/>
      <c r="E640" s="31"/>
    </row>
    <row r="641" spans="4:5" ht="14.25" x14ac:dyDescent="0.2">
      <c r="D641" s="31"/>
      <c r="E641" s="31"/>
    </row>
    <row r="642" spans="4:5" ht="14.25" x14ac:dyDescent="0.2">
      <c r="D642" s="31"/>
      <c r="E642" s="31"/>
    </row>
    <row r="643" spans="4:5" ht="14.25" x14ac:dyDescent="0.2">
      <c r="D643" s="31"/>
      <c r="E643" s="31"/>
    </row>
    <row r="644" spans="4:5" ht="14.25" x14ac:dyDescent="0.2">
      <c r="D644" s="31"/>
      <c r="E644" s="31"/>
    </row>
    <row r="645" spans="4:5" ht="14.25" x14ac:dyDescent="0.2">
      <c r="D645" s="31"/>
      <c r="E645" s="31"/>
    </row>
    <row r="646" spans="4:5" ht="14.25" x14ac:dyDescent="0.2">
      <c r="D646" s="31"/>
      <c r="E646" s="31"/>
    </row>
    <row r="647" spans="4:5" ht="14.25" x14ac:dyDescent="0.2">
      <c r="D647" s="31"/>
      <c r="E647" s="31"/>
    </row>
    <row r="648" spans="4:5" ht="14.25" x14ac:dyDescent="0.2">
      <c r="D648" s="31"/>
      <c r="E648" s="31"/>
    </row>
    <row r="649" spans="4:5" ht="14.25" x14ac:dyDescent="0.2">
      <c r="D649" s="31"/>
      <c r="E649" s="31"/>
    </row>
    <row r="650" spans="4:5" ht="14.25" x14ac:dyDescent="0.2">
      <c r="D650" s="31"/>
      <c r="E650" s="31"/>
    </row>
    <row r="651" spans="4:5" ht="14.25" x14ac:dyDescent="0.2">
      <c r="D651" s="31"/>
      <c r="E651" s="31"/>
    </row>
    <row r="652" spans="4:5" ht="14.25" x14ac:dyDescent="0.2">
      <c r="D652" s="31"/>
      <c r="E652" s="31"/>
    </row>
    <row r="653" spans="4:5" ht="14.25" x14ac:dyDescent="0.2">
      <c r="D653" s="31"/>
      <c r="E653" s="31"/>
    </row>
    <row r="654" spans="4:5" ht="14.25" x14ac:dyDescent="0.2">
      <c r="D654" s="31"/>
      <c r="E654" s="31"/>
    </row>
    <row r="655" spans="4:5" ht="14.25" x14ac:dyDescent="0.2">
      <c r="D655" s="31"/>
      <c r="E655" s="31"/>
    </row>
    <row r="656" spans="4:5" ht="14.25" x14ac:dyDescent="0.2">
      <c r="D656" s="31"/>
      <c r="E656" s="31"/>
    </row>
    <row r="657" spans="4:5" ht="14.25" x14ac:dyDescent="0.2">
      <c r="D657" s="31"/>
      <c r="E657" s="31"/>
    </row>
    <row r="658" spans="4:5" ht="14.25" x14ac:dyDescent="0.2">
      <c r="D658" s="31"/>
      <c r="E658" s="31"/>
    </row>
    <row r="659" spans="4:5" ht="14.25" x14ac:dyDescent="0.2">
      <c r="D659" s="31"/>
      <c r="E659" s="31"/>
    </row>
    <row r="660" spans="4:5" ht="14.25" x14ac:dyDescent="0.2">
      <c r="D660" s="31"/>
      <c r="E660" s="31"/>
    </row>
    <row r="661" spans="4:5" ht="14.25" x14ac:dyDescent="0.2">
      <c r="D661" s="31"/>
      <c r="E661" s="31"/>
    </row>
    <row r="662" spans="4:5" ht="14.25" x14ac:dyDescent="0.2">
      <c r="D662" s="31"/>
      <c r="E662" s="31"/>
    </row>
    <row r="663" spans="4:5" ht="14.25" x14ac:dyDescent="0.2">
      <c r="D663" s="31"/>
      <c r="E663" s="31"/>
    </row>
    <row r="664" spans="4:5" ht="14.25" x14ac:dyDescent="0.2">
      <c r="D664" s="31"/>
      <c r="E664" s="31"/>
    </row>
    <row r="665" spans="4:5" ht="14.25" x14ac:dyDescent="0.2">
      <c r="D665" s="31"/>
      <c r="E665" s="31"/>
    </row>
    <row r="666" spans="4:5" ht="14.25" x14ac:dyDescent="0.2">
      <c r="D666" s="31"/>
      <c r="E666" s="31"/>
    </row>
    <row r="667" spans="4:5" ht="14.25" x14ac:dyDescent="0.2">
      <c r="D667" s="31"/>
      <c r="E667" s="31"/>
    </row>
    <row r="668" spans="4:5" ht="14.25" x14ac:dyDescent="0.2">
      <c r="D668" s="31"/>
      <c r="E668" s="31"/>
    </row>
    <row r="669" spans="4:5" ht="14.25" x14ac:dyDescent="0.2">
      <c r="D669" s="31"/>
      <c r="E669" s="31"/>
    </row>
    <row r="670" spans="4:5" ht="14.25" x14ac:dyDescent="0.2">
      <c r="D670" s="31"/>
      <c r="E670" s="31"/>
    </row>
    <row r="671" spans="4:5" ht="14.25" x14ac:dyDescent="0.2">
      <c r="D671" s="31"/>
      <c r="E671" s="31"/>
    </row>
    <row r="672" spans="4:5" ht="14.25" x14ac:dyDescent="0.2">
      <c r="D672" s="31"/>
      <c r="E672" s="31"/>
    </row>
    <row r="673" spans="4:5" ht="14.25" x14ac:dyDescent="0.2">
      <c r="D673" s="31"/>
      <c r="E673" s="31"/>
    </row>
    <row r="674" spans="4:5" ht="14.25" x14ac:dyDescent="0.2">
      <c r="D674" s="31"/>
      <c r="E674" s="31"/>
    </row>
    <row r="675" spans="4:5" ht="14.25" x14ac:dyDescent="0.2">
      <c r="D675" s="31"/>
      <c r="E675" s="31"/>
    </row>
    <row r="676" spans="4:5" ht="14.25" x14ac:dyDescent="0.2">
      <c r="D676" s="31"/>
      <c r="E676" s="31"/>
    </row>
    <row r="677" spans="4:5" ht="14.25" x14ac:dyDescent="0.2">
      <c r="D677" s="31"/>
      <c r="E677" s="31"/>
    </row>
    <row r="678" spans="4:5" ht="14.25" x14ac:dyDescent="0.2">
      <c r="D678" s="31"/>
      <c r="E678" s="31"/>
    </row>
    <row r="679" spans="4:5" ht="14.25" x14ac:dyDescent="0.2">
      <c r="D679" s="31"/>
      <c r="E679" s="31"/>
    </row>
    <row r="680" spans="4:5" ht="14.25" x14ac:dyDescent="0.2">
      <c r="D680" s="31"/>
      <c r="E680" s="31"/>
    </row>
    <row r="681" spans="4:5" ht="14.25" x14ac:dyDescent="0.2">
      <c r="D681" s="31"/>
      <c r="E681" s="31"/>
    </row>
    <row r="682" spans="4:5" ht="14.25" x14ac:dyDescent="0.2">
      <c r="D682" s="31"/>
      <c r="E682" s="31"/>
    </row>
    <row r="683" spans="4:5" ht="14.25" x14ac:dyDescent="0.2">
      <c r="D683" s="31"/>
      <c r="E683" s="31"/>
    </row>
    <row r="684" spans="4:5" ht="14.25" x14ac:dyDescent="0.2">
      <c r="D684" s="31"/>
      <c r="E684" s="31"/>
    </row>
    <row r="685" spans="4:5" ht="14.25" x14ac:dyDescent="0.2">
      <c r="D685" s="31"/>
      <c r="E685" s="31"/>
    </row>
    <row r="686" spans="4:5" ht="14.25" x14ac:dyDescent="0.2">
      <c r="D686" s="31"/>
      <c r="E686" s="31"/>
    </row>
    <row r="687" spans="4:5" ht="14.25" x14ac:dyDescent="0.2">
      <c r="D687" s="31"/>
      <c r="E687" s="31"/>
    </row>
    <row r="688" spans="4:5" ht="14.25" x14ac:dyDescent="0.2">
      <c r="D688" s="31"/>
      <c r="E688" s="31"/>
    </row>
    <row r="689" spans="4:5" ht="14.25" x14ac:dyDescent="0.2">
      <c r="D689" s="31"/>
      <c r="E689" s="31"/>
    </row>
    <row r="690" spans="4:5" ht="14.25" x14ac:dyDescent="0.2">
      <c r="D690" s="31"/>
      <c r="E690" s="31"/>
    </row>
    <row r="691" spans="4:5" ht="14.25" x14ac:dyDescent="0.2">
      <c r="D691" s="31"/>
      <c r="E691" s="31"/>
    </row>
    <row r="692" spans="4:5" ht="14.25" x14ac:dyDescent="0.2">
      <c r="D692" s="31"/>
      <c r="E692" s="31"/>
    </row>
    <row r="693" spans="4:5" ht="14.25" x14ac:dyDescent="0.2">
      <c r="D693" s="31"/>
      <c r="E693" s="31"/>
    </row>
    <row r="694" spans="4:5" ht="14.25" x14ac:dyDescent="0.2">
      <c r="D694" s="31"/>
      <c r="E694" s="31"/>
    </row>
    <row r="695" spans="4:5" ht="14.25" x14ac:dyDescent="0.2">
      <c r="D695" s="31"/>
      <c r="E695" s="31"/>
    </row>
    <row r="696" spans="4:5" ht="14.25" x14ac:dyDescent="0.2">
      <c r="D696" s="31"/>
      <c r="E696" s="31"/>
    </row>
    <row r="697" spans="4:5" ht="14.25" x14ac:dyDescent="0.2">
      <c r="D697" s="31"/>
      <c r="E697" s="31"/>
    </row>
    <row r="698" spans="4:5" ht="14.25" x14ac:dyDescent="0.2">
      <c r="D698" s="31"/>
      <c r="E698" s="31"/>
    </row>
    <row r="699" spans="4:5" ht="14.25" x14ac:dyDescent="0.2">
      <c r="D699" s="31"/>
      <c r="E699" s="31"/>
    </row>
    <row r="700" spans="4:5" ht="14.25" x14ac:dyDescent="0.2">
      <c r="D700" s="31"/>
      <c r="E700" s="31"/>
    </row>
    <row r="701" spans="4:5" ht="14.25" x14ac:dyDescent="0.2">
      <c r="D701" s="31"/>
      <c r="E701" s="31"/>
    </row>
    <row r="702" spans="4:5" ht="14.25" x14ac:dyDescent="0.2">
      <c r="D702" s="31"/>
      <c r="E702" s="31"/>
    </row>
    <row r="703" spans="4:5" ht="14.25" x14ac:dyDescent="0.2">
      <c r="D703" s="31"/>
      <c r="E703" s="31"/>
    </row>
    <row r="704" spans="4:5" ht="14.25" x14ac:dyDescent="0.2">
      <c r="D704" s="31"/>
      <c r="E704" s="31"/>
    </row>
    <row r="705" spans="4:5" ht="14.25" x14ac:dyDescent="0.2">
      <c r="D705" s="31"/>
      <c r="E705" s="31"/>
    </row>
    <row r="706" spans="4:5" ht="14.25" x14ac:dyDescent="0.2">
      <c r="D706" s="31"/>
      <c r="E706" s="31"/>
    </row>
    <row r="707" spans="4:5" ht="14.25" x14ac:dyDescent="0.2">
      <c r="D707" s="31"/>
      <c r="E707" s="31"/>
    </row>
    <row r="708" spans="4:5" ht="14.25" x14ac:dyDescent="0.2">
      <c r="D708" s="31"/>
      <c r="E708" s="31"/>
    </row>
    <row r="709" spans="4:5" ht="14.25" x14ac:dyDescent="0.2">
      <c r="D709" s="31"/>
      <c r="E709" s="31"/>
    </row>
    <row r="710" spans="4:5" ht="14.25" x14ac:dyDescent="0.2">
      <c r="D710" s="31"/>
      <c r="E710" s="31"/>
    </row>
    <row r="711" spans="4:5" ht="14.25" x14ac:dyDescent="0.2">
      <c r="D711" s="31"/>
      <c r="E711" s="31"/>
    </row>
    <row r="712" spans="4:5" ht="14.25" x14ac:dyDescent="0.2">
      <c r="D712" s="31"/>
      <c r="E712" s="31"/>
    </row>
    <row r="713" spans="4:5" ht="14.25" x14ac:dyDescent="0.2">
      <c r="D713" s="31"/>
      <c r="E713" s="31"/>
    </row>
    <row r="714" spans="4:5" ht="14.25" x14ac:dyDescent="0.2">
      <c r="D714" s="31"/>
      <c r="E714" s="31"/>
    </row>
    <row r="715" spans="4:5" ht="14.25" x14ac:dyDescent="0.2">
      <c r="D715" s="31"/>
      <c r="E715" s="31"/>
    </row>
    <row r="716" spans="4:5" ht="14.25" x14ac:dyDescent="0.2">
      <c r="D716" s="31"/>
      <c r="E716" s="31"/>
    </row>
    <row r="717" spans="4:5" ht="14.25" x14ac:dyDescent="0.2">
      <c r="D717" s="31"/>
      <c r="E717" s="31"/>
    </row>
    <row r="718" spans="4:5" ht="14.25" x14ac:dyDescent="0.2">
      <c r="D718" s="31"/>
      <c r="E718" s="31"/>
    </row>
    <row r="719" spans="4:5" ht="14.25" x14ac:dyDescent="0.2">
      <c r="D719" s="31"/>
      <c r="E719" s="31"/>
    </row>
    <row r="720" spans="4:5" ht="14.25" x14ac:dyDescent="0.2">
      <c r="D720" s="31"/>
      <c r="E720" s="31"/>
    </row>
    <row r="721" spans="4:5" ht="14.25" x14ac:dyDescent="0.2">
      <c r="D721" s="31"/>
      <c r="E721" s="31"/>
    </row>
    <row r="722" spans="4:5" ht="14.25" x14ac:dyDescent="0.2">
      <c r="D722" s="31"/>
      <c r="E722" s="31"/>
    </row>
    <row r="723" spans="4:5" ht="14.25" x14ac:dyDescent="0.2">
      <c r="D723" s="31"/>
      <c r="E723" s="31"/>
    </row>
    <row r="724" spans="4:5" ht="14.25" x14ac:dyDescent="0.2">
      <c r="D724" s="31"/>
      <c r="E724" s="31"/>
    </row>
    <row r="725" spans="4:5" ht="14.25" x14ac:dyDescent="0.2">
      <c r="D725" s="31"/>
      <c r="E725" s="31"/>
    </row>
    <row r="726" spans="4:5" ht="14.25" x14ac:dyDescent="0.2">
      <c r="D726" s="31"/>
      <c r="E726" s="31"/>
    </row>
    <row r="727" spans="4:5" ht="14.25" x14ac:dyDescent="0.2">
      <c r="D727" s="31"/>
      <c r="E727" s="31"/>
    </row>
    <row r="728" spans="4:5" ht="14.25" x14ac:dyDescent="0.2">
      <c r="D728" s="31"/>
      <c r="E728" s="31"/>
    </row>
    <row r="729" spans="4:5" ht="14.25" x14ac:dyDescent="0.2">
      <c r="D729" s="31"/>
      <c r="E729" s="31"/>
    </row>
    <row r="730" spans="4:5" ht="14.25" x14ac:dyDescent="0.2">
      <c r="D730" s="31"/>
      <c r="E730" s="31"/>
    </row>
    <row r="731" spans="4:5" ht="14.25" x14ac:dyDescent="0.2">
      <c r="D731" s="31"/>
      <c r="E731" s="31"/>
    </row>
    <row r="732" spans="4:5" ht="14.25" x14ac:dyDescent="0.2">
      <c r="D732" s="31"/>
      <c r="E732" s="31"/>
    </row>
    <row r="733" spans="4:5" ht="14.25" x14ac:dyDescent="0.2">
      <c r="D733" s="31"/>
      <c r="E733" s="31"/>
    </row>
    <row r="734" spans="4:5" ht="14.25" x14ac:dyDescent="0.2">
      <c r="D734" s="31"/>
      <c r="E734" s="31"/>
    </row>
    <row r="735" spans="4:5" ht="14.25" x14ac:dyDescent="0.2">
      <c r="D735" s="31"/>
      <c r="E735" s="31"/>
    </row>
    <row r="736" spans="4:5" ht="14.25" x14ac:dyDescent="0.2">
      <c r="D736" s="31"/>
      <c r="E736" s="31"/>
    </row>
    <row r="737" spans="4:5" ht="14.25" x14ac:dyDescent="0.2">
      <c r="D737" s="31"/>
      <c r="E737" s="31"/>
    </row>
    <row r="738" spans="4:5" ht="14.25" x14ac:dyDescent="0.2">
      <c r="D738" s="31"/>
      <c r="E738" s="31"/>
    </row>
    <row r="739" spans="4:5" ht="14.25" x14ac:dyDescent="0.2">
      <c r="D739" s="31"/>
      <c r="E739" s="31"/>
    </row>
    <row r="740" spans="4:5" ht="14.25" x14ac:dyDescent="0.2">
      <c r="D740" s="31"/>
      <c r="E740" s="31"/>
    </row>
    <row r="741" spans="4:5" ht="14.25" x14ac:dyDescent="0.2">
      <c r="D741" s="31"/>
      <c r="E741" s="31"/>
    </row>
    <row r="742" spans="4:5" ht="14.25" x14ac:dyDescent="0.2">
      <c r="D742" s="31"/>
      <c r="E742" s="31"/>
    </row>
    <row r="743" spans="4:5" ht="14.25" x14ac:dyDescent="0.2">
      <c r="D743" s="31"/>
      <c r="E743" s="31"/>
    </row>
    <row r="744" spans="4:5" ht="14.25" x14ac:dyDescent="0.2">
      <c r="D744" s="31"/>
      <c r="E744" s="31"/>
    </row>
    <row r="745" spans="4:5" ht="14.25" x14ac:dyDescent="0.2">
      <c r="D745" s="31"/>
      <c r="E745" s="31"/>
    </row>
    <row r="746" spans="4:5" ht="14.25" x14ac:dyDescent="0.2">
      <c r="D746" s="31"/>
      <c r="E746" s="31"/>
    </row>
    <row r="747" spans="4:5" ht="14.25" x14ac:dyDescent="0.2">
      <c r="D747" s="31"/>
      <c r="E747" s="31"/>
    </row>
    <row r="748" spans="4:5" ht="14.25" x14ac:dyDescent="0.2">
      <c r="D748" s="31"/>
      <c r="E748" s="31"/>
    </row>
    <row r="749" spans="4:5" ht="14.25" x14ac:dyDescent="0.2">
      <c r="D749" s="31"/>
      <c r="E749" s="31"/>
    </row>
    <row r="750" spans="4:5" ht="14.25" x14ac:dyDescent="0.2">
      <c r="D750" s="31"/>
      <c r="E750" s="31"/>
    </row>
    <row r="751" spans="4:5" ht="14.25" x14ac:dyDescent="0.2">
      <c r="D751" s="31"/>
      <c r="E751" s="31"/>
    </row>
    <row r="752" spans="4:5" ht="14.25" x14ac:dyDescent="0.2">
      <c r="D752" s="31"/>
      <c r="E752" s="31"/>
    </row>
    <row r="753" spans="4:5" ht="14.25" x14ac:dyDescent="0.2">
      <c r="D753" s="31"/>
      <c r="E753" s="31"/>
    </row>
    <row r="754" spans="4:5" ht="14.25" x14ac:dyDescent="0.2">
      <c r="D754" s="31"/>
      <c r="E754" s="31"/>
    </row>
    <row r="755" spans="4:5" ht="14.25" x14ac:dyDescent="0.2">
      <c r="D755" s="31"/>
      <c r="E755" s="31"/>
    </row>
    <row r="756" spans="4:5" ht="14.25" x14ac:dyDescent="0.2">
      <c r="D756" s="31"/>
      <c r="E756" s="31"/>
    </row>
    <row r="757" spans="4:5" ht="14.25" x14ac:dyDescent="0.2">
      <c r="D757" s="31"/>
      <c r="E757" s="31"/>
    </row>
    <row r="758" spans="4:5" ht="14.25" x14ac:dyDescent="0.2">
      <c r="D758" s="31"/>
      <c r="E758" s="31"/>
    </row>
    <row r="759" spans="4:5" ht="14.25" x14ac:dyDescent="0.2">
      <c r="D759" s="31"/>
      <c r="E759" s="31"/>
    </row>
    <row r="760" spans="4:5" ht="14.25" x14ac:dyDescent="0.2">
      <c r="D760" s="31"/>
      <c r="E760" s="31"/>
    </row>
    <row r="761" spans="4:5" ht="14.25" x14ac:dyDescent="0.2">
      <c r="D761" s="31"/>
      <c r="E761" s="31"/>
    </row>
    <row r="762" spans="4:5" ht="14.25" x14ac:dyDescent="0.2">
      <c r="D762" s="31"/>
      <c r="E762" s="31"/>
    </row>
    <row r="763" spans="4:5" ht="14.25" x14ac:dyDescent="0.2">
      <c r="D763" s="31"/>
      <c r="E763" s="31"/>
    </row>
    <row r="764" spans="4:5" ht="14.25" x14ac:dyDescent="0.2">
      <c r="D764" s="31"/>
      <c r="E764" s="31"/>
    </row>
    <row r="765" spans="4:5" ht="14.25" x14ac:dyDescent="0.2">
      <c r="D765" s="31"/>
      <c r="E765" s="31"/>
    </row>
    <row r="766" spans="4:5" ht="14.25" x14ac:dyDescent="0.2">
      <c r="D766" s="31"/>
      <c r="E766" s="31"/>
    </row>
    <row r="767" spans="4:5" ht="14.25" x14ac:dyDescent="0.2">
      <c r="D767" s="31"/>
      <c r="E767" s="31"/>
    </row>
    <row r="768" spans="4:5" ht="14.25" x14ac:dyDescent="0.2">
      <c r="D768" s="31"/>
      <c r="E768" s="31"/>
    </row>
    <row r="769" spans="4:5" ht="14.25" x14ac:dyDescent="0.2">
      <c r="D769" s="31"/>
      <c r="E769" s="31"/>
    </row>
    <row r="770" spans="4:5" ht="14.25" x14ac:dyDescent="0.2">
      <c r="D770" s="31"/>
      <c r="E770" s="31"/>
    </row>
    <row r="771" spans="4:5" ht="14.25" x14ac:dyDescent="0.2">
      <c r="D771" s="31"/>
      <c r="E771" s="31"/>
    </row>
    <row r="772" spans="4:5" ht="14.25" x14ac:dyDescent="0.2">
      <c r="D772" s="31"/>
      <c r="E772" s="31"/>
    </row>
    <row r="773" spans="4:5" ht="14.25" x14ac:dyDescent="0.2">
      <c r="D773" s="31"/>
      <c r="E773" s="31"/>
    </row>
    <row r="774" spans="4:5" ht="14.25" x14ac:dyDescent="0.2">
      <c r="D774" s="31"/>
      <c r="E774" s="31"/>
    </row>
    <row r="775" spans="4:5" ht="14.25" x14ac:dyDescent="0.2">
      <c r="D775" s="31"/>
      <c r="E775" s="31"/>
    </row>
    <row r="776" spans="4:5" ht="14.25" x14ac:dyDescent="0.2">
      <c r="D776" s="31"/>
      <c r="E776" s="31"/>
    </row>
    <row r="777" spans="4:5" ht="14.25" x14ac:dyDescent="0.2">
      <c r="D777" s="31"/>
      <c r="E777" s="31"/>
    </row>
    <row r="778" spans="4:5" ht="14.25" x14ac:dyDescent="0.2">
      <c r="D778" s="31"/>
      <c r="E778" s="31"/>
    </row>
    <row r="779" spans="4:5" ht="14.25" x14ac:dyDescent="0.2">
      <c r="D779" s="31"/>
      <c r="E779" s="31"/>
    </row>
    <row r="780" spans="4:5" ht="14.25" x14ac:dyDescent="0.2">
      <c r="D780" s="31"/>
      <c r="E780" s="31"/>
    </row>
    <row r="781" spans="4:5" ht="14.25" x14ac:dyDescent="0.2">
      <c r="D781" s="31"/>
      <c r="E781" s="31"/>
    </row>
    <row r="782" spans="4:5" ht="14.25" x14ac:dyDescent="0.2">
      <c r="D782" s="31"/>
      <c r="E782" s="31"/>
    </row>
    <row r="783" spans="4:5" ht="14.25" x14ac:dyDescent="0.2">
      <c r="D783" s="31"/>
      <c r="E783" s="31"/>
    </row>
    <row r="784" spans="4:5" ht="14.25" x14ac:dyDescent="0.2">
      <c r="D784" s="31"/>
      <c r="E784" s="31"/>
    </row>
    <row r="785" spans="4:5" ht="14.25" x14ac:dyDescent="0.2">
      <c r="D785" s="31"/>
      <c r="E785" s="31"/>
    </row>
    <row r="786" spans="4:5" ht="14.25" x14ac:dyDescent="0.2">
      <c r="D786" s="31"/>
      <c r="E786" s="31"/>
    </row>
    <row r="787" spans="4:5" ht="14.25" x14ac:dyDescent="0.2">
      <c r="D787" s="31"/>
      <c r="E787" s="31"/>
    </row>
    <row r="788" spans="4:5" ht="14.25" x14ac:dyDescent="0.2">
      <c r="D788" s="31"/>
      <c r="E788" s="31"/>
    </row>
    <row r="789" spans="4:5" ht="14.25" x14ac:dyDescent="0.2">
      <c r="D789" s="31"/>
      <c r="E789" s="31"/>
    </row>
    <row r="790" spans="4:5" ht="14.25" x14ac:dyDescent="0.2">
      <c r="D790" s="31"/>
      <c r="E790" s="31"/>
    </row>
    <row r="791" spans="4:5" ht="14.25" x14ac:dyDescent="0.2">
      <c r="D791" s="31"/>
      <c r="E791" s="31"/>
    </row>
    <row r="792" spans="4:5" ht="14.25" x14ac:dyDescent="0.2">
      <c r="D792" s="31"/>
      <c r="E792" s="31"/>
    </row>
    <row r="793" spans="4:5" ht="14.25" x14ac:dyDescent="0.2">
      <c r="D793" s="31"/>
      <c r="E793" s="31"/>
    </row>
    <row r="794" spans="4:5" ht="14.25" x14ac:dyDescent="0.2">
      <c r="D794" s="31"/>
      <c r="E794" s="31"/>
    </row>
    <row r="795" spans="4:5" ht="14.25" x14ac:dyDescent="0.2">
      <c r="D795" s="31"/>
      <c r="E795" s="31"/>
    </row>
    <row r="796" spans="4:5" ht="14.25" x14ac:dyDescent="0.2">
      <c r="D796" s="31"/>
      <c r="E796" s="31"/>
    </row>
    <row r="797" spans="4:5" ht="14.25" x14ac:dyDescent="0.2">
      <c r="D797" s="31"/>
      <c r="E797" s="31"/>
    </row>
    <row r="798" spans="4:5" ht="14.25" x14ac:dyDescent="0.2">
      <c r="D798" s="31"/>
      <c r="E798" s="31"/>
    </row>
    <row r="799" spans="4:5" ht="14.25" x14ac:dyDescent="0.2">
      <c r="D799" s="31"/>
      <c r="E799" s="31"/>
    </row>
    <row r="800" spans="4:5" ht="14.25" x14ac:dyDescent="0.2">
      <c r="D800" s="31"/>
      <c r="E800" s="31"/>
    </row>
    <row r="801" spans="4:5" ht="14.25" x14ac:dyDescent="0.2">
      <c r="D801" s="31"/>
      <c r="E801" s="31"/>
    </row>
    <row r="802" spans="4:5" ht="14.25" x14ac:dyDescent="0.2">
      <c r="D802" s="31"/>
      <c r="E802" s="31"/>
    </row>
    <row r="803" spans="4:5" ht="14.25" x14ac:dyDescent="0.2">
      <c r="D803" s="31"/>
      <c r="E803" s="31"/>
    </row>
    <row r="804" spans="4:5" ht="14.25" x14ac:dyDescent="0.2">
      <c r="D804" s="31"/>
      <c r="E804" s="31"/>
    </row>
    <row r="805" spans="4:5" ht="14.25" x14ac:dyDescent="0.2">
      <c r="D805" s="31"/>
      <c r="E805" s="31"/>
    </row>
    <row r="806" spans="4:5" ht="14.25" x14ac:dyDescent="0.2">
      <c r="D806" s="31"/>
      <c r="E806" s="31"/>
    </row>
    <row r="807" spans="4:5" ht="14.25" x14ac:dyDescent="0.2">
      <c r="D807" s="31"/>
      <c r="E807" s="31"/>
    </row>
    <row r="808" spans="4:5" ht="14.25" x14ac:dyDescent="0.2">
      <c r="D808" s="31"/>
      <c r="E808" s="31"/>
    </row>
    <row r="809" spans="4:5" ht="14.25" x14ac:dyDescent="0.2">
      <c r="D809" s="31"/>
      <c r="E809" s="31"/>
    </row>
    <row r="810" spans="4:5" ht="14.25" x14ac:dyDescent="0.2">
      <c r="D810" s="31"/>
      <c r="E810" s="31"/>
    </row>
    <row r="811" spans="4:5" ht="14.25" x14ac:dyDescent="0.2">
      <c r="D811" s="31"/>
      <c r="E811" s="31"/>
    </row>
    <row r="812" spans="4:5" ht="14.25" x14ac:dyDescent="0.2">
      <c r="D812" s="31"/>
      <c r="E812" s="31"/>
    </row>
    <row r="813" spans="4:5" ht="14.25" x14ac:dyDescent="0.2">
      <c r="D813" s="31"/>
      <c r="E813" s="31"/>
    </row>
    <row r="814" spans="4:5" ht="14.25" x14ac:dyDescent="0.2">
      <c r="D814" s="31"/>
      <c r="E814" s="31"/>
    </row>
    <row r="815" spans="4:5" ht="14.25" x14ac:dyDescent="0.2">
      <c r="D815" s="31"/>
      <c r="E815" s="31"/>
    </row>
    <row r="816" spans="4:5" ht="14.25" x14ac:dyDescent="0.2">
      <c r="D816" s="31"/>
      <c r="E816" s="31"/>
    </row>
    <row r="817" spans="4:5" ht="14.25" x14ac:dyDescent="0.2">
      <c r="D817" s="31"/>
      <c r="E817" s="31"/>
    </row>
    <row r="818" spans="4:5" ht="14.25" x14ac:dyDescent="0.2">
      <c r="D818" s="31"/>
      <c r="E818" s="31"/>
    </row>
    <row r="819" spans="4:5" ht="14.25" x14ac:dyDescent="0.2">
      <c r="D819" s="31"/>
      <c r="E819" s="31"/>
    </row>
    <row r="820" spans="4:5" ht="14.25" x14ac:dyDescent="0.2">
      <c r="D820" s="31"/>
      <c r="E820" s="31"/>
    </row>
    <row r="821" spans="4:5" ht="14.25" x14ac:dyDescent="0.2">
      <c r="D821" s="31"/>
      <c r="E821" s="31"/>
    </row>
    <row r="822" spans="4:5" ht="14.25" x14ac:dyDescent="0.2">
      <c r="D822" s="31"/>
      <c r="E822" s="31"/>
    </row>
    <row r="823" spans="4:5" ht="14.25" x14ac:dyDescent="0.2">
      <c r="D823" s="31"/>
      <c r="E823" s="31"/>
    </row>
    <row r="824" spans="4:5" ht="14.25" x14ac:dyDescent="0.2">
      <c r="D824" s="31"/>
      <c r="E824" s="31"/>
    </row>
    <row r="825" spans="4:5" ht="14.25" x14ac:dyDescent="0.2">
      <c r="D825" s="31"/>
      <c r="E825" s="31"/>
    </row>
    <row r="826" spans="4:5" ht="14.25" x14ac:dyDescent="0.2">
      <c r="D826" s="31"/>
      <c r="E826" s="31"/>
    </row>
    <row r="827" spans="4:5" ht="14.25" x14ac:dyDescent="0.2">
      <c r="D827" s="31"/>
      <c r="E827" s="31"/>
    </row>
    <row r="828" spans="4:5" ht="14.25" x14ac:dyDescent="0.2">
      <c r="D828" s="31"/>
      <c r="E828" s="31"/>
    </row>
    <row r="829" spans="4:5" ht="14.25" x14ac:dyDescent="0.2">
      <c r="D829" s="31"/>
      <c r="E829" s="31"/>
    </row>
    <row r="830" spans="4:5" ht="14.25" x14ac:dyDescent="0.2">
      <c r="D830" s="31"/>
      <c r="E830" s="31"/>
    </row>
    <row r="831" spans="4:5" ht="14.25" x14ac:dyDescent="0.2">
      <c r="D831" s="31"/>
      <c r="E831" s="31"/>
    </row>
    <row r="832" spans="4:5" ht="14.25" x14ac:dyDescent="0.2">
      <c r="D832" s="31"/>
      <c r="E832" s="31"/>
    </row>
    <row r="833" spans="4:5" ht="14.25" x14ac:dyDescent="0.2">
      <c r="D833" s="31"/>
      <c r="E833" s="31"/>
    </row>
    <row r="834" spans="4:5" ht="14.25" x14ac:dyDescent="0.2">
      <c r="D834" s="31"/>
      <c r="E834" s="31"/>
    </row>
    <row r="835" spans="4:5" ht="14.25" x14ac:dyDescent="0.2">
      <c r="D835" s="31"/>
      <c r="E835" s="31"/>
    </row>
    <row r="836" spans="4:5" ht="14.25" x14ac:dyDescent="0.2">
      <c r="D836" s="31"/>
      <c r="E836" s="31"/>
    </row>
    <row r="837" spans="4:5" ht="14.25" x14ac:dyDescent="0.2">
      <c r="D837" s="31"/>
      <c r="E837" s="31"/>
    </row>
    <row r="838" spans="4:5" ht="14.25" x14ac:dyDescent="0.2">
      <c r="D838" s="31"/>
      <c r="E838" s="31"/>
    </row>
    <row r="839" spans="4:5" ht="14.25" x14ac:dyDescent="0.2">
      <c r="D839" s="31"/>
      <c r="E839" s="31"/>
    </row>
    <row r="840" spans="4:5" ht="14.25" x14ac:dyDescent="0.2">
      <c r="D840" s="31"/>
      <c r="E840" s="31"/>
    </row>
    <row r="841" spans="4:5" ht="14.25" x14ac:dyDescent="0.2">
      <c r="D841" s="31"/>
      <c r="E841" s="31"/>
    </row>
    <row r="842" spans="4:5" ht="14.25" x14ac:dyDescent="0.2">
      <c r="D842" s="31"/>
      <c r="E842" s="31"/>
    </row>
    <row r="843" spans="4:5" ht="14.25" x14ac:dyDescent="0.2">
      <c r="D843" s="31"/>
      <c r="E843" s="31"/>
    </row>
    <row r="844" spans="4:5" ht="14.25" x14ac:dyDescent="0.2">
      <c r="D844" s="31"/>
      <c r="E844" s="31"/>
    </row>
    <row r="845" spans="4:5" ht="14.25" x14ac:dyDescent="0.2">
      <c r="D845" s="31"/>
      <c r="E845" s="31"/>
    </row>
    <row r="846" spans="4:5" ht="14.25" x14ac:dyDescent="0.2">
      <c r="D846" s="31"/>
      <c r="E846" s="31"/>
    </row>
    <row r="847" spans="4:5" ht="14.25" x14ac:dyDescent="0.2">
      <c r="D847" s="31"/>
      <c r="E847" s="31"/>
    </row>
    <row r="848" spans="4:5" ht="14.25" x14ac:dyDescent="0.2">
      <c r="D848" s="31"/>
      <c r="E848" s="31"/>
    </row>
    <row r="849" spans="4:5" ht="14.25" x14ac:dyDescent="0.2">
      <c r="D849" s="31"/>
      <c r="E849" s="31"/>
    </row>
    <row r="850" spans="4:5" ht="14.25" x14ac:dyDescent="0.2">
      <c r="D850" s="31"/>
      <c r="E850" s="31"/>
    </row>
    <row r="851" spans="4:5" ht="14.25" x14ac:dyDescent="0.2">
      <c r="D851" s="31"/>
      <c r="E851" s="31"/>
    </row>
    <row r="852" spans="4:5" ht="14.25" x14ac:dyDescent="0.2">
      <c r="D852" s="31"/>
      <c r="E852" s="31"/>
    </row>
    <row r="853" spans="4:5" ht="14.25" x14ac:dyDescent="0.2">
      <c r="D853" s="31"/>
      <c r="E853" s="31"/>
    </row>
    <row r="854" spans="4:5" ht="14.25" x14ac:dyDescent="0.2">
      <c r="D854" s="31"/>
      <c r="E854" s="31"/>
    </row>
    <row r="855" spans="4:5" ht="14.25" x14ac:dyDescent="0.2">
      <c r="D855" s="31"/>
      <c r="E855" s="31"/>
    </row>
    <row r="856" spans="4:5" ht="14.25" x14ac:dyDescent="0.2">
      <c r="D856" s="31"/>
      <c r="E856" s="31"/>
    </row>
    <row r="857" spans="4:5" ht="14.25" x14ac:dyDescent="0.2">
      <c r="D857" s="31"/>
      <c r="E857" s="31"/>
    </row>
    <row r="858" spans="4:5" ht="14.25" x14ac:dyDescent="0.2">
      <c r="D858" s="31"/>
      <c r="E858" s="31"/>
    </row>
    <row r="859" spans="4:5" ht="14.25" x14ac:dyDescent="0.2">
      <c r="D859" s="31"/>
      <c r="E859" s="31"/>
    </row>
    <row r="860" spans="4:5" ht="14.25" x14ac:dyDescent="0.2">
      <c r="D860" s="31"/>
      <c r="E860" s="31"/>
    </row>
    <row r="861" spans="4:5" ht="14.25" x14ac:dyDescent="0.2">
      <c r="D861" s="31"/>
      <c r="E861" s="31"/>
    </row>
    <row r="862" spans="4:5" ht="14.25" x14ac:dyDescent="0.2">
      <c r="D862" s="31"/>
      <c r="E862" s="31"/>
    </row>
    <row r="863" spans="4:5" ht="14.25" x14ac:dyDescent="0.2">
      <c r="D863" s="31"/>
      <c r="E863" s="31"/>
    </row>
    <row r="864" spans="4:5" ht="14.25" x14ac:dyDescent="0.2">
      <c r="D864" s="31"/>
      <c r="E864" s="31"/>
    </row>
    <row r="865" spans="4:5" ht="14.25" x14ac:dyDescent="0.2">
      <c r="D865" s="31"/>
      <c r="E865" s="31"/>
    </row>
    <row r="866" spans="4:5" ht="14.25" x14ac:dyDescent="0.2">
      <c r="D866" s="31"/>
      <c r="E866" s="31"/>
    </row>
    <row r="867" spans="4:5" ht="14.25" x14ac:dyDescent="0.2">
      <c r="D867" s="31"/>
      <c r="E867" s="31"/>
    </row>
    <row r="868" spans="4:5" ht="14.25" x14ac:dyDescent="0.2">
      <c r="D868" s="31"/>
      <c r="E868" s="31"/>
    </row>
    <row r="869" spans="4:5" ht="14.25" x14ac:dyDescent="0.2">
      <c r="D869" s="31"/>
      <c r="E869" s="31"/>
    </row>
    <row r="870" spans="4:5" ht="14.25" x14ac:dyDescent="0.2">
      <c r="D870" s="31"/>
      <c r="E870" s="31"/>
    </row>
    <row r="871" spans="4:5" ht="14.25" x14ac:dyDescent="0.2">
      <c r="D871" s="31"/>
      <c r="E871" s="31"/>
    </row>
    <row r="872" spans="4:5" ht="14.25" x14ac:dyDescent="0.2">
      <c r="D872" s="31"/>
      <c r="E872" s="31"/>
    </row>
    <row r="873" spans="4:5" ht="14.25" x14ac:dyDescent="0.2">
      <c r="D873" s="31"/>
      <c r="E873" s="31"/>
    </row>
    <row r="874" spans="4:5" ht="14.25" x14ac:dyDescent="0.2">
      <c r="D874" s="31"/>
      <c r="E874" s="31"/>
    </row>
    <row r="875" spans="4:5" ht="14.25" x14ac:dyDescent="0.2">
      <c r="D875" s="31"/>
      <c r="E875" s="31"/>
    </row>
    <row r="876" spans="4:5" ht="14.25" x14ac:dyDescent="0.2">
      <c r="D876" s="31"/>
      <c r="E876" s="31"/>
    </row>
    <row r="877" spans="4:5" ht="14.25" x14ac:dyDescent="0.2">
      <c r="D877" s="31"/>
      <c r="E877" s="31"/>
    </row>
    <row r="878" spans="4:5" ht="14.25" x14ac:dyDescent="0.2">
      <c r="D878" s="31"/>
      <c r="E878" s="31"/>
    </row>
    <row r="879" spans="4:5" ht="14.25" x14ac:dyDescent="0.2">
      <c r="D879" s="31"/>
      <c r="E879" s="31"/>
    </row>
    <row r="880" spans="4:5" ht="14.25" x14ac:dyDescent="0.2">
      <c r="D880" s="31"/>
      <c r="E880" s="31"/>
    </row>
    <row r="881" spans="4:5" ht="14.25" x14ac:dyDescent="0.2">
      <c r="D881" s="31"/>
      <c r="E881" s="31"/>
    </row>
    <row r="882" spans="4:5" ht="14.25" x14ac:dyDescent="0.2">
      <c r="D882" s="31"/>
      <c r="E882" s="31"/>
    </row>
    <row r="883" spans="4:5" ht="14.25" x14ac:dyDescent="0.2">
      <c r="D883" s="31"/>
      <c r="E883" s="31"/>
    </row>
    <row r="884" spans="4:5" ht="14.25" x14ac:dyDescent="0.2">
      <c r="D884" s="31"/>
      <c r="E884" s="31"/>
    </row>
    <row r="885" spans="4:5" ht="14.25" x14ac:dyDescent="0.2">
      <c r="D885" s="31"/>
      <c r="E885" s="31"/>
    </row>
    <row r="886" spans="4:5" ht="14.25" x14ac:dyDescent="0.2">
      <c r="D886" s="31"/>
      <c r="E886" s="31"/>
    </row>
    <row r="887" spans="4:5" ht="14.25" x14ac:dyDescent="0.2">
      <c r="D887" s="31"/>
      <c r="E887" s="31"/>
    </row>
    <row r="888" spans="4:5" ht="14.25" x14ac:dyDescent="0.2">
      <c r="D888" s="31"/>
      <c r="E888" s="31"/>
    </row>
    <row r="889" spans="4:5" ht="14.25" x14ac:dyDescent="0.2">
      <c r="D889" s="31"/>
      <c r="E889" s="31"/>
    </row>
    <row r="890" spans="4:5" ht="14.25" x14ac:dyDescent="0.2">
      <c r="D890" s="31"/>
      <c r="E890" s="31"/>
    </row>
    <row r="891" spans="4:5" ht="14.25" x14ac:dyDescent="0.2">
      <c r="D891" s="31"/>
      <c r="E891" s="31"/>
    </row>
    <row r="892" spans="4:5" ht="14.25" x14ac:dyDescent="0.2">
      <c r="D892" s="31"/>
      <c r="E892" s="31"/>
    </row>
    <row r="893" spans="4:5" ht="14.25" x14ac:dyDescent="0.2">
      <c r="D893" s="31"/>
      <c r="E893" s="31"/>
    </row>
    <row r="894" spans="4:5" ht="14.25" x14ac:dyDescent="0.2">
      <c r="D894" s="31"/>
      <c r="E894" s="31"/>
    </row>
    <row r="895" spans="4:5" ht="14.25" x14ac:dyDescent="0.2">
      <c r="D895" s="31"/>
      <c r="E895" s="31"/>
    </row>
    <row r="896" spans="4:5" ht="14.25" x14ac:dyDescent="0.2">
      <c r="D896" s="31"/>
      <c r="E896" s="31"/>
    </row>
    <row r="897" spans="4:5" ht="14.25" x14ac:dyDescent="0.2">
      <c r="D897" s="31"/>
      <c r="E897" s="31"/>
    </row>
    <row r="898" spans="4:5" ht="14.25" x14ac:dyDescent="0.2">
      <c r="D898" s="31"/>
      <c r="E898" s="31"/>
    </row>
    <row r="899" spans="4:5" ht="14.25" x14ac:dyDescent="0.2">
      <c r="D899" s="31"/>
      <c r="E899" s="31"/>
    </row>
    <row r="900" spans="4:5" ht="14.25" x14ac:dyDescent="0.2">
      <c r="D900" s="31"/>
      <c r="E900" s="31"/>
    </row>
    <row r="901" spans="4:5" ht="14.25" x14ac:dyDescent="0.2">
      <c r="D901" s="31"/>
      <c r="E901" s="31"/>
    </row>
    <row r="902" spans="4:5" ht="14.25" x14ac:dyDescent="0.2">
      <c r="D902" s="31"/>
      <c r="E902" s="31"/>
    </row>
    <row r="903" spans="4:5" ht="14.25" x14ac:dyDescent="0.2">
      <c r="D903" s="31"/>
      <c r="E903" s="31"/>
    </row>
    <row r="904" spans="4:5" ht="14.25" x14ac:dyDescent="0.2">
      <c r="D904" s="31"/>
      <c r="E904" s="31"/>
    </row>
    <row r="905" spans="4:5" ht="14.25" x14ac:dyDescent="0.2">
      <c r="D905" s="31"/>
      <c r="E905" s="31"/>
    </row>
    <row r="906" spans="4:5" ht="14.25" x14ac:dyDescent="0.2">
      <c r="D906" s="31"/>
      <c r="E906" s="31"/>
    </row>
    <row r="907" spans="4:5" ht="14.25" x14ac:dyDescent="0.2">
      <c r="D907" s="31"/>
      <c r="E907" s="31"/>
    </row>
    <row r="908" spans="4:5" ht="14.25" x14ac:dyDescent="0.2">
      <c r="D908" s="31"/>
      <c r="E908" s="31"/>
    </row>
    <row r="909" spans="4:5" ht="14.25" x14ac:dyDescent="0.2">
      <c r="D909" s="31"/>
      <c r="E909" s="31"/>
    </row>
    <row r="910" spans="4:5" ht="14.25" x14ac:dyDescent="0.2">
      <c r="D910" s="31"/>
      <c r="E910" s="31"/>
    </row>
    <row r="911" spans="4:5" ht="14.25" x14ac:dyDescent="0.2">
      <c r="D911" s="31"/>
      <c r="E911" s="31"/>
    </row>
    <row r="912" spans="4:5" ht="14.25" x14ac:dyDescent="0.2">
      <c r="D912" s="31"/>
      <c r="E912" s="31"/>
    </row>
    <row r="913" spans="4:5" ht="14.25" x14ac:dyDescent="0.2">
      <c r="D913" s="31"/>
      <c r="E913" s="31"/>
    </row>
    <row r="914" spans="4:5" ht="14.25" x14ac:dyDescent="0.2">
      <c r="D914" s="31"/>
      <c r="E914" s="31"/>
    </row>
    <row r="915" spans="4:5" ht="14.25" x14ac:dyDescent="0.2">
      <c r="D915" s="31"/>
      <c r="E915" s="31"/>
    </row>
    <row r="916" spans="4:5" ht="14.25" x14ac:dyDescent="0.2">
      <c r="D916" s="31"/>
      <c r="E916" s="31"/>
    </row>
    <row r="917" spans="4:5" ht="14.25" x14ac:dyDescent="0.2">
      <c r="D917" s="31"/>
      <c r="E917" s="31"/>
    </row>
    <row r="918" spans="4:5" ht="14.25" x14ac:dyDescent="0.2">
      <c r="D918" s="31"/>
      <c r="E918" s="31"/>
    </row>
    <row r="919" spans="4:5" ht="14.25" x14ac:dyDescent="0.2">
      <c r="D919" s="31"/>
      <c r="E919" s="31"/>
    </row>
    <row r="920" spans="4:5" ht="14.25" x14ac:dyDescent="0.2">
      <c r="D920" s="31"/>
      <c r="E920" s="31"/>
    </row>
    <row r="921" spans="4:5" ht="14.25" x14ac:dyDescent="0.2">
      <c r="D921" s="31"/>
      <c r="E921" s="31"/>
    </row>
    <row r="922" spans="4:5" ht="14.25" x14ac:dyDescent="0.2">
      <c r="D922" s="31"/>
      <c r="E922" s="31"/>
    </row>
    <row r="923" spans="4:5" ht="14.25" x14ac:dyDescent="0.2">
      <c r="D923" s="31"/>
      <c r="E923" s="31"/>
    </row>
    <row r="924" spans="4:5" ht="14.25" x14ac:dyDescent="0.2">
      <c r="D924" s="31"/>
      <c r="E924" s="31"/>
    </row>
    <row r="925" spans="4:5" ht="14.25" x14ac:dyDescent="0.2">
      <c r="D925" s="31"/>
      <c r="E925" s="31"/>
    </row>
    <row r="926" spans="4:5" ht="14.25" x14ac:dyDescent="0.2">
      <c r="D926" s="31"/>
      <c r="E926" s="31"/>
    </row>
    <row r="927" spans="4:5" ht="14.25" x14ac:dyDescent="0.2">
      <c r="D927" s="31"/>
      <c r="E927" s="31"/>
    </row>
    <row r="928" spans="4:5" ht="14.25" x14ac:dyDescent="0.2">
      <c r="D928" s="31"/>
      <c r="E928" s="31"/>
    </row>
    <row r="929" spans="4:5" ht="14.25" x14ac:dyDescent="0.2">
      <c r="D929" s="31"/>
      <c r="E929" s="31"/>
    </row>
    <row r="930" spans="4:5" ht="14.25" x14ac:dyDescent="0.2">
      <c r="D930" s="31"/>
      <c r="E930" s="31"/>
    </row>
    <row r="931" spans="4:5" ht="14.25" x14ac:dyDescent="0.2">
      <c r="D931" s="31"/>
      <c r="E931" s="31"/>
    </row>
    <row r="932" spans="4:5" ht="14.25" x14ac:dyDescent="0.2">
      <c r="D932" s="31"/>
      <c r="E932" s="31"/>
    </row>
    <row r="933" spans="4:5" ht="14.25" x14ac:dyDescent="0.2">
      <c r="D933" s="31"/>
      <c r="E933" s="31"/>
    </row>
    <row r="934" spans="4:5" ht="14.25" x14ac:dyDescent="0.2">
      <c r="D934" s="31"/>
      <c r="E934" s="31"/>
    </row>
    <row r="935" spans="4:5" ht="14.25" x14ac:dyDescent="0.2">
      <c r="D935" s="31"/>
      <c r="E935" s="31"/>
    </row>
    <row r="936" spans="4:5" ht="14.25" x14ac:dyDescent="0.2">
      <c r="D936" s="31"/>
      <c r="E936" s="31"/>
    </row>
    <row r="937" spans="4:5" ht="14.25" x14ac:dyDescent="0.2">
      <c r="D937" s="31"/>
      <c r="E937" s="31"/>
    </row>
    <row r="938" spans="4:5" ht="14.25" x14ac:dyDescent="0.2">
      <c r="D938" s="31"/>
      <c r="E938" s="31"/>
    </row>
    <row r="939" spans="4:5" ht="14.25" x14ac:dyDescent="0.2">
      <c r="D939" s="31"/>
      <c r="E939" s="31"/>
    </row>
    <row r="940" spans="4:5" ht="14.25" x14ac:dyDescent="0.2">
      <c r="D940" s="31"/>
      <c r="E940" s="31"/>
    </row>
    <row r="941" spans="4:5" ht="14.25" x14ac:dyDescent="0.2">
      <c r="D941" s="31"/>
      <c r="E941" s="31"/>
    </row>
    <row r="942" spans="4:5" ht="14.25" x14ac:dyDescent="0.2">
      <c r="D942" s="31"/>
      <c r="E942" s="31"/>
    </row>
    <row r="943" spans="4:5" ht="14.25" x14ac:dyDescent="0.2">
      <c r="D943" s="31"/>
      <c r="E943" s="31"/>
    </row>
    <row r="944" spans="4:5" ht="14.25" x14ac:dyDescent="0.2">
      <c r="D944" s="31"/>
      <c r="E944" s="31"/>
    </row>
    <row r="945" spans="4:5" ht="14.25" x14ac:dyDescent="0.2">
      <c r="D945" s="31"/>
      <c r="E945" s="31"/>
    </row>
    <row r="946" spans="4:5" ht="14.25" x14ac:dyDescent="0.2">
      <c r="D946" s="31"/>
      <c r="E946" s="31"/>
    </row>
    <row r="947" spans="4:5" ht="14.25" x14ac:dyDescent="0.2">
      <c r="D947" s="31"/>
      <c r="E947" s="31"/>
    </row>
    <row r="948" spans="4:5" ht="14.25" x14ac:dyDescent="0.2">
      <c r="D948" s="31"/>
      <c r="E948" s="31"/>
    </row>
    <row r="949" spans="4:5" ht="14.25" x14ac:dyDescent="0.2">
      <c r="D949" s="31"/>
      <c r="E949" s="31"/>
    </row>
    <row r="950" spans="4:5" ht="14.25" x14ac:dyDescent="0.2">
      <c r="D950" s="31"/>
      <c r="E950" s="31"/>
    </row>
    <row r="951" spans="4:5" ht="14.25" x14ac:dyDescent="0.2">
      <c r="D951" s="31"/>
      <c r="E951" s="31"/>
    </row>
    <row r="952" spans="4:5" ht="14.25" x14ac:dyDescent="0.2">
      <c r="D952" s="31"/>
      <c r="E952" s="31"/>
    </row>
    <row r="953" spans="4:5" ht="14.25" x14ac:dyDescent="0.2">
      <c r="D953" s="31"/>
      <c r="E953" s="31"/>
    </row>
    <row r="954" spans="4:5" ht="14.25" x14ac:dyDescent="0.2">
      <c r="D954" s="31"/>
      <c r="E954" s="31"/>
    </row>
    <row r="955" spans="4:5" ht="14.25" x14ac:dyDescent="0.2">
      <c r="D955" s="31"/>
      <c r="E955" s="31"/>
    </row>
    <row r="956" spans="4:5" ht="14.25" x14ac:dyDescent="0.2">
      <c r="D956" s="31"/>
      <c r="E956" s="31"/>
    </row>
    <row r="957" spans="4:5" ht="14.25" x14ac:dyDescent="0.2">
      <c r="D957" s="31"/>
      <c r="E957" s="31"/>
    </row>
    <row r="958" spans="4:5" ht="14.25" x14ac:dyDescent="0.2">
      <c r="D958" s="31"/>
      <c r="E958" s="31"/>
    </row>
    <row r="959" spans="4:5" ht="14.25" x14ac:dyDescent="0.2">
      <c r="D959" s="31"/>
      <c r="E959" s="31"/>
    </row>
    <row r="960" spans="4:5" ht="14.25" x14ac:dyDescent="0.2">
      <c r="D960" s="31"/>
      <c r="E960" s="31"/>
    </row>
    <row r="961" spans="4:5" ht="14.25" x14ac:dyDescent="0.2">
      <c r="D961" s="31"/>
      <c r="E961" s="31"/>
    </row>
    <row r="962" spans="4:5" ht="14.25" x14ac:dyDescent="0.2">
      <c r="D962" s="31"/>
      <c r="E962" s="31"/>
    </row>
    <row r="963" spans="4:5" ht="14.25" x14ac:dyDescent="0.2">
      <c r="D963" s="31"/>
      <c r="E963" s="31"/>
    </row>
    <row r="964" spans="4:5" ht="14.25" x14ac:dyDescent="0.2">
      <c r="D964" s="31"/>
      <c r="E964" s="31"/>
    </row>
    <row r="965" spans="4:5" ht="14.25" x14ac:dyDescent="0.2">
      <c r="D965" s="31"/>
      <c r="E965" s="31"/>
    </row>
    <row r="966" spans="4:5" ht="14.25" x14ac:dyDescent="0.2">
      <c r="D966" s="31"/>
      <c r="E966" s="31"/>
    </row>
    <row r="967" spans="4:5" ht="14.25" x14ac:dyDescent="0.2">
      <c r="D967" s="31"/>
      <c r="E967" s="31"/>
    </row>
    <row r="968" spans="4:5" ht="14.25" x14ac:dyDescent="0.2">
      <c r="D968" s="31"/>
      <c r="E968" s="31"/>
    </row>
    <row r="969" spans="4:5" ht="14.25" x14ac:dyDescent="0.2">
      <c r="D969" s="31"/>
      <c r="E969" s="31"/>
    </row>
    <row r="970" spans="4:5" ht="14.25" x14ac:dyDescent="0.2">
      <c r="D970" s="31"/>
      <c r="E970" s="31"/>
    </row>
    <row r="971" spans="4:5" ht="14.25" x14ac:dyDescent="0.2">
      <c r="D971" s="31"/>
      <c r="E971" s="31"/>
    </row>
    <row r="972" spans="4:5" ht="14.25" x14ac:dyDescent="0.2">
      <c r="D972" s="31"/>
      <c r="E972" s="31"/>
    </row>
    <row r="973" spans="4:5" ht="14.25" x14ac:dyDescent="0.2">
      <c r="D973" s="31"/>
      <c r="E973" s="31"/>
    </row>
    <row r="974" spans="4:5" ht="14.25" x14ac:dyDescent="0.2">
      <c r="D974" s="31"/>
      <c r="E974" s="31"/>
    </row>
    <row r="975" spans="4:5" ht="14.25" x14ac:dyDescent="0.2">
      <c r="D975" s="31"/>
      <c r="E975" s="31"/>
    </row>
    <row r="976" spans="4:5" ht="14.25" x14ac:dyDescent="0.2">
      <c r="D976" s="31"/>
      <c r="E976" s="31"/>
    </row>
    <row r="977" spans="4:5" ht="14.25" x14ac:dyDescent="0.2">
      <c r="D977" s="31"/>
      <c r="E977" s="31"/>
    </row>
    <row r="978" spans="4:5" ht="14.25" x14ac:dyDescent="0.2">
      <c r="D978" s="31"/>
      <c r="E978" s="31"/>
    </row>
    <row r="979" spans="4:5" ht="14.25" x14ac:dyDescent="0.2">
      <c r="D979" s="31"/>
      <c r="E979" s="31"/>
    </row>
    <row r="980" spans="4:5" ht="14.25" x14ac:dyDescent="0.2">
      <c r="D980" s="31"/>
      <c r="E980" s="31"/>
    </row>
    <row r="981" spans="4:5" ht="14.25" x14ac:dyDescent="0.2">
      <c r="D981" s="31"/>
      <c r="E981" s="31"/>
    </row>
    <row r="982" spans="4:5" ht="14.25" x14ac:dyDescent="0.2">
      <c r="D982" s="31"/>
      <c r="E982" s="31"/>
    </row>
    <row r="983" spans="4:5" ht="14.25" x14ac:dyDescent="0.2">
      <c r="D983" s="31"/>
      <c r="E983" s="31"/>
    </row>
    <row r="984" spans="4:5" ht="14.25" x14ac:dyDescent="0.2">
      <c r="D984" s="31"/>
      <c r="E984" s="31"/>
    </row>
    <row r="985" spans="4:5" ht="14.25" x14ac:dyDescent="0.2">
      <c r="D985" s="31"/>
      <c r="E985" s="31"/>
    </row>
    <row r="986" spans="4:5" ht="14.25" x14ac:dyDescent="0.2">
      <c r="D986" s="31"/>
      <c r="E986" s="31"/>
    </row>
    <row r="987" spans="4:5" ht="14.25" x14ac:dyDescent="0.2">
      <c r="D987" s="31"/>
      <c r="E987" s="31"/>
    </row>
    <row r="988" spans="4:5" ht="14.25" x14ac:dyDescent="0.2">
      <c r="D988" s="31"/>
      <c r="E988" s="31"/>
    </row>
    <row r="989" spans="4:5" ht="14.25" x14ac:dyDescent="0.2">
      <c r="D989" s="31"/>
      <c r="E989" s="31"/>
    </row>
    <row r="990" spans="4:5" ht="14.25" x14ac:dyDescent="0.2">
      <c r="D990" s="31"/>
      <c r="E990" s="31"/>
    </row>
    <row r="991" spans="4:5" ht="14.25" x14ac:dyDescent="0.2">
      <c r="D991" s="31"/>
      <c r="E991" s="31"/>
    </row>
    <row r="992" spans="4:5" ht="14.25" x14ac:dyDescent="0.2">
      <c r="D992" s="31"/>
      <c r="E992" s="31"/>
    </row>
    <row r="993" spans="4:5" ht="14.25" x14ac:dyDescent="0.2">
      <c r="D993" s="31"/>
      <c r="E993" s="31"/>
    </row>
    <row r="994" spans="4:5" ht="14.25" x14ac:dyDescent="0.2">
      <c r="D994" s="31"/>
      <c r="E994" s="31"/>
    </row>
    <row r="995" spans="4:5" ht="14.25" x14ac:dyDescent="0.2">
      <c r="D995" s="31"/>
      <c r="E995" s="31"/>
    </row>
    <row r="996" spans="4:5" ht="14.25" x14ac:dyDescent="0.2">
      <c r="D996" s="31"/>
      <c r="E996" s="31"/>
    </row>
    <row r="997" spans="4:5" ht="14.25" x14ac:dyDescent="0.2">
      <c r="D997" s="31"/>
      <c r="E997" s="31"/>
    </row>
    <row r="998" spans="4:5" ht="14.25" x14ac:dyDescent="0.2">
      <c r="D998" s="31"/>
      <c r="E998" s="31"/>
    </row>
    <row r="999" spans="4:5" ht="14.25" x14ac:dyDescent="0.2">
      <c r="D999" s="31"/>
      <c r="E999" s="31"/>
    </row>
    <row r="1000" spans="4:5" ht="14.25" x14ac:dyDescent="0.2">
      <c r="D1000" s="31"/>
      <c r="E1000" s="31"/>
    </row>
    <row r="1001" spans="4:5" ht="14.25" x14ac:dyDescent="0.2">
      <c r="D1001" s="31"/>
      <c r="E1001" s="31"/>
    </row>
    <row r="1002" spans="4:5" ht="14.25" x14ac:dyDescent="0.2">
      <c r="D1002" s="31"/>
      <c r="E1002" s="31"/>
    </row>
    <row r="1003" spans="4:5" ht="14.25" x14ac:dyDescent="0.2">
      <c r="D1003" s="31"/>
      <c r="E1003" s="31"/>
    </row>
  </sheetData>
  <conditionalFormatting sqref="D6:D500">
    <cfRule type="expression" dxfId="6" priority="2">
      <formula>D6="Ingreso"</formula>
    </cfRule>
    <cfRule type="expression" dxfId="5" priority="3">
      <formula>D6="Gasto"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100-000000000000}">
          <x14:formula1>
            <xm:f>LISTAS!$B$3:$B$13</xm:f>
          </x14:formula1>
          <x14:formula2>
            <xm:f>0</xm:f>
          </x14:formula2>
          <xm:sqref>E501:E1003</xm:sqref>
        </x14:dataValidation>
        <x14:dataValidation type="list" allowBlank="1" showErrorMessage="1" xr:uid="{00000000-0002-0000-0100-000001000000}">
          <x14:formula1>
            <xm:f>LISTAS!$B$90:$B$91</xm:f>
          </x14:formula1>
          <x14:formula2>
            <xm:f>0</xm:f>
          </x14:formula2>
          <xm:sqref>D501:D1003</xm:sqref>
        </x14:dataValidation>
        <x14:dataValidation type="list" xr:uid="{00000000-0002-0000-0100-000002000000}">
          <x14:formula1>
            <xm:f>LISTAS!$D$4:$D$5</xm:f>
          </x14:formula1>
          <x14:formula2>
            <xm:f>0</xm:f>
          </x14:formula2>
          <xm:sqref>D6:D500</xm:sqref>
        </x14:dataValidation>
        <x14:dataValidation type="list" xr:uid="{00000000-0002-0000-0100-000003000000}">
          <x14:formula1>
            <xm:f>LISTAS!$J$4:$J$20</xm:f>
          </x14:formula1>
          <x14:formula2>
            <xm:f>0</xm:f>
          </x14:formula2>
          <xm:sqref>E6:E500</xm:sqref>
        </x14:dataValidation>
        <x14:dataValidation type="list" xr:uid="{00000000-0002-0000-0100-000004000000}">
          <x14:formula1>
            <xm:f>LISTAS!$B$4:$B$93</xm:f>
          </x14:formula1>
          <x14:formula2>
            <xm:f>0</xm:f>
          </x14:formula2>
          <xm:sqref>F6:F500</xm:sqref>
        </x14:dataValidation>
        <x14:dataValidation type="list" xr:uid="{00000000-0002-0000-0100-000005000000}">
          <x14:formula1>
            <xm:f>LISTAS!$F$4:$F$8</xm:f>
          </x14:formula1>
          <x14:formula2>
            <xm:f>0</xm:f>
          </x14:formula2>
          <xm:sqref>J6:J500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Normal="100" workbookViewId="0">
      <selection activeCell="F27" sqref="F27"/>
    </sheetView>
  </sheetViews>
  <sheetFormatPr baseColWidth="10" defaultColWidth="12.5703125" defaultRowHeight="12.75" x14ac:dyDescent="0.2"/>
  <cols>
    <col min="2" max="6" width="14" style="4" customWidth="1"/>
    <col min="7" max="7" width="10" style="4" customWidth="1"/>
  </cols>
  <sheetData>
    <row r="1" spans="1:10" ht="27.75" customHeight="1" x14ac:dyDescent="0.2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2">
      <c r="B3" s="11" t="s">
        <v>75</v>
      </c>
      <c r="C3" s="11" t="s">
        <v>25</v>
      </c>
      <c r="D3" s="11" t="s">
        <v>76</v>
      </c>
      <c r="E3" s="11" t="s">
        <v>12</v>
      </c>
      <c r="F3" s="11" t="s">
        <v>77</v>
      </c>
      <c r="G3" s="11" t="s">
        <v>78</v>
      </c>
    </row>
    <row r="4" spans="1:10" x14ac:dyDescent="0.2">
      <c r="B4" s="39">
        <f ca="1">EOMONTH(TODAY(),-11)+1</f>
        <v>45839</v>
      </c>
      <c r="C4" s="20">
        <f ca="1">SUMIFS(MOVIMIENTOS!$H$6:$H$500,MOVIMIENTOS!$D$6:$D$500,"Ingreso",MOVIMIENTOS!$C$6:$C$500,"&gt;="&amp;B4,MOVIMIENTOS!$C$6:$C$500,"&lt;"&amp;EDATE(B4,1))</f>
        <v>0</v>
      </c>
      <c r="D4" s="20">
        <f ca="1">SUMIFS(MOVIMIENTOS!$H$6:$H$500,MOVIMIENTOS!$D$6:$D$500,"Gasto",MOVIMIENTOS!$C$6:$C$500,"&gt;="&amp;B4,MOVIMIENTOS!$C$6:$C$500,"&lt;"&amp;EDATE(B4,1))</f>
        <v>0</v>
      </c>
      <c r="E4" s="20">
        <f t="shared" ref="E4:E15" ca="1" si="0">C4-D4</f>
        <v>0</v>
      </c>
      <c r="F4" s="20">
        <f ca="1">Dashboard!$C$2+SUM($E$4:E4)</f>
        <v>500</v>
      </c>
      <c r="G4" s="19" t="str">
        <f t="shared" ref="G4:G15" ca="1" si="1">IF(E4&lt;0,"Déficit","OK")</f>
        <v>OK</v>
      </c>
    </row>
    <row r="5" spans="1:10" x14ac:dyDescent="0.2">
      <c r="B5" s="40">
        <f ca="1">EOMONTH(TODAY(),-10)+1</f>
        <v>45870</v>
      </c>
      <c r="C5" s="15">
        <f ca="1">SUMIFS(MOVIMIENTOS!$H$6:$H$500,MOVIMIENTOS!$D$6:$D$500,"Ingreso",MOVIMIENTOS!$C$6:$C$500,"&gt;="&amp;B5,MOVIMIENTOS!$C$6:$C$500,"&lt;"&amp;EDATE(B5,1))</f>
        <v>0</v>
      </c>
      <c r="D5" s="15">
        <f ca="1">SUMIFS(MOVIMIENTOS!$H$6:$H$500,MOVIMIENTOS!$D$6:$D$500,"Gasto",MOVIMIENTOS!$C$6:$C$500,"&gt;="&amp;B5,MOVIMIENTOS!$C$6:$C$500,"&lt;"&amp;EDATE(B5,1))</f>
        <v>0</v>
      </c>
      <c r="E5" s="15">
        <f t="shared" ca="1" si="0"/>
        <v>0</v>
      </c>
      <c r="F5" s="15">
        <f ca="1">Dashboard!$C$2+SUM($E$4:E5)</f>
        <v>500</v>
      </c>
      <c r="G5" s="14" t="str">
        <f t="shared" ca="1" si="1"/>
        <v>OK</v>
      </c>
    </row>
    <row r="6" spans="1:10" x14ac:dyDescent="0.2">
      <c r="B6" s="39">
        <f ca="1">EOMONTH(TODAY(),-9)+1</f>
        <v>45901</v>
      </c>
      <c r="C6" s="20">
        <f ca="1">SUMIFS(MOVIMIENTOS!$H$6:$H$500,MOVIMIENTOS!$D$6:$D$500,"Ingreso",MOVIMIENTOS!$C$6:$C$500,"&gt;="&amp;B6,MOVIMIENTOS!$C$6:$C$500,"&lt;"&amp;EDATE(B6,1))</f>
        <v>0</v>
      </c>
      <c r="D6" s="20">
        <f ca="1">SUMIFS(MOVIMIENTOS!$H$6:$H$500,MOVIMIENTOS!$D$6:$D$500,"Gasto",MOVIMIENTOS!$C$6:$C$500,"&gt;="&amp;B6,MOVIMIENTOS!$C$6:$C$500,"&lt;"&amp;EDATE(B6,1))</f>
        <v>0</v>
      </c>
      <c r="E6" s="20">
        <f t="shared" ca="1" si="0"/>
        <v>0</v>
      </c>
      <c r="F6" s="20">
        <f ca="1">Dashboard!$C$2+SUM($E$4:E6)</f>
        <v>500</v>
      </c>
      <c r="G6" s="19" t="str">
        <f t="shared" ca="1" si="1"/>
        <v>OK</v>
      </c>
    </row>
    <row r="7" spans="1:10" x14ac:dyDescent="0.2">
      <c r="B7" s="40">
        <f ca="1">EOMONTH(TODAY(),-8)+1</f>
        <v>45931</v>
      </c>
      <c r="C7" s="15">
        <f ca="1">SUMIFS(MOVIMIENTOS!$H$6:$H$500,MOVIMIENTOS!$D$6:$D$500,"Ingreso",MOVIMIENTOS!$C$6:$C$500,"&gt;="&amp;B7,MOVIMIENTOS!$C$6:$C$500,"&lt;"&amp;EDATE(B7,1))</f>
        <v>0</v>
      </c>
      <c r="D7" s="15">
        <f ca="1">SUMIFS(MOVIMIENTOS!$H$6:$H$500,MOVIMIENTOS!$D$6:$D$500,"Gasto",MOVIMIENTOS!$C$6:$C$500,"&gt;="&amp;B7,MOVIMIENTOS!$C$6:$C$500,"&lt;"&amp;EDATE(B7,1))</f>
        <v>0</v>
      </c>
      <c r="E7" s="15">
        <f t="shared" ca="1" si="0"/>
        <v>0</v>
      </c>
      <c r="F7" s="15">
        <f ca="1">Dashboard!$C$2+SUM($E$4:E7)</f>
        <v>500</v>
      </c>
      <c r="G7" s="14" t="str">
        <f t="shared" ca="1" si="1"/>
        <v>OK</v>
      </c>
    </row>
    <row r="8" spans="1:10" x14ac:dyDescent="0.2">
      <c r="B8" s="39">
        <f ca="1">EOMONTH(TODAY(),-7)+1</f>
        <v>45962</v>
      </c>
      <c r="C8" s="20">
        <f ca="1">SUMIFS(MOVIMIENTOS!$H$6:$H$500,MOVIMIENTOS!$D$6:$D$500,"Ingreso",MOVIMIENTOS!$C$6:$C$500,"&gt;="&amp;B8,MOVIMIENTOS!$C$6:$C$500,"&lt;"&amp;EDATE(B8,1))</f>
        <v>0</v>
      </c>
      <c r="D8" s="20">
        <f ca="1">SUMIFS(MOVIMIENTOS!$H$6:$H$500,MOVIMIENTOS!$D$6:$D$500,"Gasto",MOVIMIENTOS!$C$6:$C$500,"&gt;="&amp;B8,MOVIMIENTOS!$C$6:$C$500,"&lt;"&amp;EDATE(B8,1))</f>
        <v>0</v>
      </c>
      <c r="E8" s="20">
        <f t="shared" ca="1" si="0"/>
        <v>0</v>
      </c>
      <c r="F8" s="20">
        <f ca="1">Dashboard!$C$2+SUM($E$4:E8)</f>
        <v>500</v>
      </c>
      <c r="G8" s="19" t="str">
        <f t="shared" ca="1" si="1"/>
        <v>OK</v>
      </c>
    </row>
    <row r="9" spans="1:10" x14ac:dyDescent="0.2">
      <c r="B9" s="40">
        <f ca="1">EOMONTH(TODAY(),-6)+1</f>
        <v>45992</v>
      </c>
      <c r="C9" s="15">
        <f ca="1">SUMIFS(MOVIMIENTOS!$H$6:$H$500,MOVIMIENTOS!$D$6:$D$500,"Ingreso",MOVIMIENTOS!$C$6:$C$500,"&gt;="&amp;B9,MOVIMIENTOS!$C$6:$C$500,"&lt;"&amp;EDATE(B9,1))</f>
        <v>0</v>
      </c>
      <c r="D9" s="15">
        <f ca="1">SUMIFS(MOVIMIENTOS!$H$6:$H$500,MOVIMIENTOS!$D$6:$D$500,"Gasto",MOVIMIENTOS!$C$6:$C$500,"&gt;="&amp;B9,MOVIMIENTOS!$C$6:$C$500,"&lt;"&amp;EDATE(B9,1))</f>
        <v>0</v>
      </c>
      <c r="E9" s="15">
        <f t="shared" ca="1" si="0"/>
        <v>0</v>
      </c>
      <c r="F9" s="15">
        <f ca="1">Dashboard!$C$2+SUM($E$4:E9)</f>
        <v>500</v>
      </c>
      <c r="G9" s="14" t="str">
        <f t="shared" ca="1" si="1"/>
        <v>OK</v>
      </c>
    </row>
    <row r="10" spans="1:10" x14ac:dyDescent="0.2">
      <c r="B10" s="39">
        <f ca="1">EOMONTH(TODAY(),-5)+1</f>
        <v>46023</v>
      </c>
      <c r="C10" s="20">
        <f ca="1">SUMIFS(MOVIMIENTOS!$H$6:$H$500,MOVIMIENTOS!$D$6:$D$500,"Ingreso",MOVIMIENTOS!$C$6:$C$500,"&gt;="&amp;B10,MOVIMIENTOS!$C$6:$C$500,"&lt;"&amp;EDATE(B10,1))</f>
        <v>0</v>
      </c>
      <c r="D10" s="20">
        <f ca="1">SUMIFS(MOVIMIENTOS!$H$6:$H$500,MOVIMIENTOS!$D$6:$D$500,"Gasto",MOVIMIENTOS!$C$6:$C$500,"&gt;="&amp;B10,MOVIMIENTOS!$C$6:$C$500,"&lt;"&amp;EDATE(B10,1))</f>
        <v>0</v>
      </c>
      <c r="E10" s="20">
        <f t="shared" ca="1" si="0"/>
        <v>0</v>
      </c>
      <c r="F10" s="20">
        <f ca="1">Dashboard!$C$2+SUM($E$4:E10)</f>
        <v>500</v>
      </c>
      <c r="G10" s="19" t="str">
        <f t="shared" ca="1" si="1"/>
        <v>OK</v>
      </c>
    </row>
    <row r="11" spans="1:10" x14ac:dyDescent="0.2">
      <c r="B11" s="40">
        <f ca="1">EOMONTH(TODAY(),-4)+1</f>
        <v>46054</v>
      </c>
      <c r="C11" s="15">
        <f ca="1">SUMIFS(MOVIMIENTOS!$H$6:$H$500,MOVIMIENTOS!$D$6:$D$500,"Ingreso",MOVIMIENTOS!$C$6:$C$500,"&gt;="&amp;B11,MOVIMIENTOS!$C$6:$C$500,"&lt;"&amp;EDATE(B11,1))</f>
        <v>0</v>
      </c>
      <c r="D11" s="15">
        <f ca="1">SUMIFS(MOVIMIENTOS!$H$6:$H$500,MOVIMIENTOS!$D$6:$D$500,"Gasto",MOVIMIENTOS!$C$6:$C$500,"&gt;="&amp;B11,MOVIMIENTOS!$C$6:$C$500,"&lt;"&amp;EDATE(B11,1))</f>
        <v>0</v>
      </c>
      <c r="E11" s="15">
        <f t="shared" ca="1" si="0"/>
        <v>0</v>
      </c>
      <c r="F11" s="15">
        <f ca="1">Dashboard!$C$2+SUM($E$4:E11)</f>
        <v>500</v>
      </c>
      <c r="G11" s="14" t="str">
        <f t="shared" ca="1" si="1"/>
        <v>OK</v>
      </c>
    </row>
    <row r="12" spans="1:10" x14ac:dyDescent="0.2">
      <c r="B12" s="39">
        <f ca="1">EOMONTH(TODAY(),-3)+1</f>
        <v>46082</v>
      </c>
      <c r="C12" s="20">
        <f ca="1">SUMIFS(MOVIMIENTOS!$H$6:$H$500,MOVIMIENTOS!$D$6:$D$500,"Ingreso",MOVIMIENTOS!$C$6:$C$500,"&gt;="&amp;B12,MOVIMIENTOS!$C$6:$C$500,"&lt;"&amp;EDATE(B12,1))</f>
        <v>0</v>
      </c>
      <c r="D12" s="20">
        <f ca="1">SUMIFS(MOVIMIENTOS!$H$6:$H$500,MOVIMIENTOS!$D$6:$D$500,"Gasto",MOVIMIENTOS!$C$6:$C$500,"&gt;="&amp;B12,MOVIMIENTOS!$C$6:$C$500,"&lt;"&amp;EDATE(B12,1))</f>
        <v>0</v>
      </c>
      <c r="E12" s="20">
        <f t="shared" ca="1" si="0"/>
        <v>0</v>
      </c>
      <c r="F12" s="20">
        <f ca="1">Dashboard!$C$2+SUM($E$4:E12)</f>
        <v>500</v>
      </c>
      <c r="G12" s="19" t="str">
        <f t="shared" ca="1" si="1"/>
        <v>OK</v>
      </c>
    </row>
    <row r="13" spans="1:10" x14ac:dyDescent="0.2">
      <c r="B13" s="40">
        <f ca="1">EOMONTH(TODAY(),-2)+1</f>
        <v>46113</v>
      </c>
      <c r="C13" s="15">
        <f ca="1">SUMIFS(MOVIMIENTOS!$H$6:$H$500,MOVIMIENTOS!$D$6:$D$500,"Ingreso",MOVIMIENTOS!$C$6:$C$500,"&gt;="&amp;B13,MOVIMIENTOS!$C$6:$C$500,"&lt;"&amp;EDATE(B13,1))</f>
        <v>2000</v>
      </c>
      <c r="D13" s="15">
        <f ca="1">SUMIFS(MOVIMIENTOS!$H$6:$H$500,MOVIMIENTOS!$D$6:$D$500,"Gasto",MOVIMIENTOS!$C$6:$C$500,"&gt;="&amp;B13,MOVIMIENTOS!$C$6:$C$500,"&lt;"&amp;EDATE(B13,1))</f>
        <v>631.4</v>
      </c>
      <c r="E13" s="15">
        <f t="shared" ca="1" si="0"/>
        <v>1368.6</v>
      </c>
      <c r="F13" s="15">
        <f ca="1">Dashboard!$C$2+SUM($E$4:E13)</f>
        <v>1868.6</v>
      </c>
      <c r="G13" s="14" t="str">
        <f t="shared" ca="1" si="1"/>
        <v>OK</v>
      </c>
    </row>
    <row r="14" spans="1:10" x14ac:dyDescent="0.2">
      <c r="B14" s="39">
        <f ca="1">EOMONTH(TODAY(),-1)+1</f>
        <v>46143</v>
      </c>
      <c r="C14" s="20">
        <f ca="1">SUMIFS(MOVIMIENTOS!$H$6:$H$500,MOVIMIENTOS!$D$6:$D$500,"Ingreso",MOVIMIENTOS!$C$6:$C$500,"&gt;="&amp;B14,MOVIMIENTOS!$C$6:$C$500,"&lt;"&amp;EDATE(B14,1))</f>
        <v>0</v>
      </c>
      <c r="D14" s="20">
        <f ca="1">SUMIFS(MOVIMIENTOS!$H$6:$H$500,MOVIMIENTOS!$D$6:$D$500,"Gasto",MOVIMIENTOS!$C$6:$C$500,"&gt;="&amp;B14,MOVIMIENTOS!$C$6:$C$500,"&lt;"&amp;EDATE(B14,1))</f>
        <v>651.5</v>
      </c>
      <c r="E14" s="20">
        <f t="shared" ca="1" si="0"/>
        <v>-651.5</v>
      </c>
      <c r="F14" s="20">
        <f ca="1">Dashboard!$C$2+SUM($E$4:E14)</f>
        <v>1217.0999999999999</v>
      </c>
      <c r="G14" s="19" t="str">
        <f t="shared" ca="1" si="1"/>
        <v>Déficit</v>
      </c>
    </row>
    <row r="15" spans="1:10" x14ac:dyDescent="0.2">
      <c r="B15" s="40">
        <f ca="1">EOMONTH(TODAY(),0)+1</f>
        <v>46174</v>
      </c>
      <c r="C15" s="15">
        <f ca="1">SUMIFS(MOVIMIENTOS!$H$6:$H$500,MOVIMIENTOS!$D$6:$D$500,"Ingreso",MOVIMIENTOS!$C$6:$C$500,"&gt;="&amp;B15,MOVIMIENTOS!$C$6:$C$500,"&lt;"&amp;EDATE(B15,1))</f>
        <v>0</v>
      </c>
      <c r="D15" s="15">
        <f ca="1">SUMIFS(MOVIMIENTOS!$H$6:$H$500,MOVIMIENTOS!$D$6:$D$500,"Gasto",MOVIMIENTOS!$C$6:$C$500,"&gt;="&amp;B15,MOVIMIENTOS!$C$6:$C$500,"&lt;"&amp;EDATE(B15,1))</f>
        <v>0</v>
      </c>
      <c r="E15" s="15">
        <f t="shared" ca="1" si="0"/>
        <v>0</v>
      </c>
      <c r="F15" s="15">
        <f ca="1">Dashboard!$C$2+SUM($E$4:E15)</f>
        <v>1217.0999999999999</v>
      </c>
      <c r="G15" s="14" t="str">
        <f t="shared" ca="1" si="1"/>
        <v>OK</v>
      </c>
    </row>
  </sheetData>
  <mergeCells count="1">
    <mergeCell ref="A1:J1"/>
  </mergeCells>
  <conditionalFormatting sqref="E4:E15">
    <cfRule type="expression" dxfId="4" priority="2">
      <formula>E4&lt;0</formula>
    </cfRule>
    <cfRule type="expression" dxfId="3" priority="3">
      <formula>E4&gt;=0</formula>
    </cfRule>
  </conditionalFormatting>
  <conditionalFormatting sqref="G4:G15">
    <cfRule type="cellIs" dxfId="2" priority="4" operator="equal">
      <formula>"Déficit"</formula>
    </cfRule>
    <cfRule type="cellIs" dxfId="1" priority="5" operator="equal">
      <formula>"OK"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zoomScaleNormal="100" workbookViewId="0">
      <selection activeCell="E16" sqref="E16"/>
    </sheetView>
  </sheetViews>
  <sheetFormatPr baseColWidth="10" defaultColWidth="12.5703125" defaultRowHeight="12.75" x14ac:dyDescent="0.2"/>
  <cols>
    <col min="2" max="2" width="22" style="4" customWidth="1"/>
    <col min="3" max="3" width="15" style="4" customWidth="1"/>
    <col min="4" max="6" width="14" style="4" customWidth="1"/>
    <col min="7" max="7" width="9" style="4" customWidth="1"/>
    <col min="8" max="8" width="10" style="4" customWidth="1"/>
    <col min="9" max="9" width="12" style="4" customWidth="1"/>
    <col min="10" max="10" width="14" style="4" customWidth="1"/>
    <col min="11" max="11" width="16" style="4" customWidth="1"/>
  </cols>
  <sheetData>
    <row r="1" spans="1:11" ht="27.75" customHeight="1" x14ac:dyDescent="0.2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4.25" x14ac:dyDescent="0.2">
      <c r="B2" s="31"/>
      <c r="C2" s="31"/>
      <c r="D2" s="31"/>
      <c r="E2" s="31"/>
      <c r="F2" s="31"/>
      <c r="G2" s="31"/>
      <c r="H2" s="31"/>
      <c r="I2" s="31"/>
    </row>
    <row r="3" spans="1:11" ht="25.5" x14ac:dyDescent="0.2">
      <c r="B3" s="41" t="s">
        <v>80</v>
      </c>
      <c r="C3" s="41" t="s">
        <v>81</v>
      </c>
      <c r="D3" s="41" t="s">
        <v>28</v>
      </c>
      <c r="E3" s="41" t="s">
        <v>82</v>
      </c>
      <c r="F3" s="41" t="s">
        <v>83</v>
      </c>
      <c r="G3" s="42" t="s">
        <v>84</v>
      </c>
      <c r="H3" s="41" t="s">
        <v>85</v>
      </c>
      <c r="I3" s="41" t="s">
        <v>78</v>
      </c>
      <c r="J3" s="41" t="s">
        <v>86</v>
      </c>
      <c r="K3" s="41" t="s">
        <v>87</v>
      </c>
    </row>
    <row r="4" spans="1:11" x14ac:dyDescent="0.2">
      <c r="B4" s="28" t="s">
        <v>88</v>
      </c>
      <c r="C4" s="28" t="s">
        <v>89</v>
      </c>
      <c r="D4" s="43" t="s">
        <v>90</v>
      </c>
      <c r="E4" s="44">
        <v>500</v>
      </c>
      <c r="F4" s="44">
        <v>500</v>
      </c>
      <c r="G4" s="28">
        <v>15</v>
      </c>
      <c r="H4" s="28" t="s">
        <v>91</v>
      </c>
      <c r="I4" s="28" t="s">
        <v>92</v>
      </c>
      <c r="J4" s="44">
        <v>0</v>
      </c>
      <c r="K4" s="44">
        <f t="shared" ref="K4:K12" si="0">IFERROR(E4-J4,0)</f>
        <v>500</v>
      </c>
    </row>
    <row r="5" spans="1:11" x14ac:dyDescent="0.2">
      <c r="B5" s="33" t="s">
        <v>93</v>
      </c>
      <c r="C5" s="33" t="s">
        <v>89</v>
      </c>
      <c r="D5" s="45" t="s">
        <v>94</v>
      </c>
      <c r="E5" s="46">
        <v>9500</v>
      </c>
      <c r="F5" s="46">
        <v>0</v>
      </c>
      <c r="G5" s="33">
        <v>15</v>
      </c>
      <c r="H5" s="33" t="s">
        <v>91</v>
      </c>
      <c r="I5" s="33" t="s">
        <v>92</v>
      </c>
      <c r="J5" s="46">
        <v>0</v>
      </c>
      <c r="K5" s="46">
        <f t="shared" si="0"/>
        <v>9500</v>
      </c>
    </row>
    <row r="6" spans="1:11" x14ac:dyDescent="0.2">
      <c r="B6" s="28" t="s">
        <v>95</v>
      </c>
      <c r="C6" s="28" t="s">
        <v>96</v>
      </c>
      <c r="D6" s="43" t="s">
        <v>97</v>
      </c>
      <c r="E6" s="44">
        <v>0</v>
      </c>
      <c r="F6" s="44">
        <v>400</v>
      </c>
      <c r="G6" s="28">
        <v>0</v>
      </c>
      <c r="H6" s="28" t="s">
        <v>91</v>
      </c>
      <c r="I6" s="28" t="s">
        <v>92</v>
      </c>
      <c r="J6" s="44">
        <v>0</v>
      </c>
      <c r="K6" s="44">
        <f t="shared" si="0"/>
        <v>0</v>
      </c>
    </row>
    <row r="7" spans="1:11" x14ac:dyDescent="0.2">
      <c r="B7" s="33" t="s">
        <v>98</v>
      </c>
      <c r="C7" s="33" t="s">
        <v>96</v>
      </c>
      <c r="D7" s="45" t="s">
        <v>97</v>
      </c>
      <c r="E7" s="46">
        <v>0</v>
      </c>
      <c r="F7" s="46">
        <v>500</v>
      </c>
      <c r="G7" s="33">
        <v>0</v>
      </c>
      <c r="H7" s="33" t="s">
        <v>91</v>
      </c>
      <c r="I7" s="33" t="s">
        <v>92</v>
      </c>
      <c r="J7" s="46">
        <v>0</v>
      </c>
      <c r="K7" s="46">
        <f t="shared" si="0"/>
        <v>0</v>
      </c>
    </row>
    <row r="8" spans="1:11" x14ac:dyDescent="0.2">
      <c r="B8" s="28" t="s">
        <v>99</v>
      </c>
      <c r="C8" s="28" t="s">
        <v>100</v>
      </c>
      <c r="D8" s="43" t="s">
        <v>97</v>
      </c>
      <c r="E8" s="44">
        <v>2000</v>
      </c>
      <c r="F8" s="44">
        <v>0</v>
      </c>
      <c r="G8" s="28">
        <v>0</v>
      </c>
      <c r="H8" s="28" t="s">
        <v>91</v>
      </c>
      <c r="I8" s="28" t="s">
        <v>92</v>
      </c>
      <c r="J8" s="44">
        <v>0</v>
      </c>
      <c r="K8" s="44">
        <f t="shared" si="0"/>
        <v>2000</v>
      </c>
    </row>
    <row r="9" spans="1:11" x14ac:dyDescent="0.2">
      <c r="B9" s="33" t="s">
        <v>101</v>
      </c>
      <c r="C9" s="33" t="s">
        <v>100</v>
      </c>
      <c r="D9" s="45" t="s">
        <v>17</v>
      </c>
      <c r="E9" s="46">
        <v>12000</v>
      </c>
      <c r="F9" s="46">
        <v>0</v>
      </c>
      <c r="G9" s="33">
        <v>0</v>
      </c>
      <c r="H9" s="33" t="s">
        <v>91</v>
      </c>
      <c r="I9" s="33" t="s">
        <v>92</v>
      </c>
      <c r="J9" s="46">
        <v>0</v>
      </c>
      <c r="K9" s="46">
        <f t="shared" si="0"/>
        <v>12000</v>
      </c>
    </row>
    <row r="10" spans="1:11" x14ac:dyDescent="0.2">
      <c r="B10" s="28" t="s">
        <v>102</v>
      </c>
      <c r="C10" s="28" t="s">
        <v>100</v>
      </c>
      <c r="D10" s="43" t="s">
        <v>97</v>
      </c>
      <c r="E10" s="44">
        <v>4000</v>
      </c>
      <c r="F10" s="44">
        <v>0</v>
      </c>
      <c r="G10" s="28">
        <v>0</v>
      </c>
      <c r="H10" s="28" t="s">
        <v>91</v>
      </c>
      <c r="I10" s="28" t="s">
        <v>92</v>
      </c>
      <c r="J10" s="44">
        <v>0</v>
      </c>
      <c r="K10" s="44">
        <f t="shared" si="0"/>
        <v>4000</v>
      </c>
    </row>
    <row r="11" spans="1:11" x14ac:dyDescent="0.2">
      <c r="B11" s="33" t="s">
        <v>103</v>
      </c>
      <c r="C11" s="33" t="s">
        <v>100</v>
      </c>
      <c r="D11" s="45" t="s">
        <v>97</v>
      </c>
      <c r="E11" s="46">
        <v>6000</v>
      </c>
      <c r="F11" s="46">
        <v>0</v>
      </c>
      <c r="G11" s="33">
        <v>0</v>
      </c>
      <c r="H11" s="33" t="s">
        <v>91</v>
      </c>
      <c r="I11" s="33" t="s">
        <v>92</v>
      </c>
      <c r="J11" s="46">
        <v>0</v>
      </c>
      <c r="K11" s="46">
        <f t="shared" si="0"/>
        <v>6000</v>
      </c>
    </row>
    <row r="12" spans="1:11" x14ac:dyDescent="0.2">
      <c r="B12" s="28" t="s">
        <v>104</v>
      </c>
      <c r="C12" s="28" t="s">
        <v>89</v>
      </c>
      <c r="D12" s="43" t="s">
        <v>105</v>
      </c>
      <c r="E12" s="44">
        <v>500</v>
      </c>
      <c r="F12" s="44">
        <v>0</v>
      </c>
      <c r="G12" s="28">
        <v>0</v>
      </c>
      <c r="H12" s="28" t="s">
        <v>106</v>
      </c>
      <c r="I12" s="28" t="s">
        <v>92</v>
      </c>
      <c r="J12" s="44">
        <v>0</v>
      </c>
      <c r="K12" s="44">
        <f t="shared" si="0"/>
        <v>500</v>
      </c>
    </row>
    <row r="13" spans="1:11" ht="14.25" x14ac:dyDescent="0.2">
      <c r="B13" s="47" t="s">
        <v>107</v>
      </c>
      <c r="C13" s="48"/>
      <c r="D13" s="49"/>
      <c r="E13" s="50">
        <f>SUM(E4:E12)</f>
        <v>34500</v>
      </c>
      <c r="F13" s="50">
        <f>SUM(F4:F12)</f>
        <v>1400</v>
      </c>
      <c r="G13" s="51"/>
      <c r="H13" s="48"/>
      <c r="I13" s="51"/>
      <c r="J13" s="50">
        <f>SUM(J4:J12)</f>
        <v>0</v>
      </c>
      <c r="K13" s="50">
        <f>SUM(K4:K12)</f>
        <v>34500</v>
      </c>
    </row>
    <row r="14" spans="1:11" ht="14.25" x14ac:dyDescent="0.2">
      <c r="B14" s="36"/>
      <c r="C14" s="52"/>
      <c r="D14" s="53"/>
      <c r="E14" s="53"/>
      <c r="F14" s="36"/>
      <c r="G14" s="36"/>
      <c r="H14" s="52"/>
      <c r="I14" s="36"/>
      <c r="J14" s="53"/>
      <c r="K14" s="53"/>
    </row>
    <row r="15" spans="1:11" ht="14.25" x14ac:dyDescent="0.2">
      <c r="B15" s="36"/>
      <c r="C15" s="52"/>
      <c r="D15" s="53"/>
      <c r="E15" s="53"/>
      <c r="F15" s="36"/>
      <c r="G15" s="36"/>
      <c r="H15" s="52"/>
      <c r="I15" s="36"/>
      <c r="J15" s="53"/>
      <c r="K15" s="53"/>
    </row>
    <row r="16" spans="1:11" ht="14.25" x14ac:dyDescent="0.2">
      <c r="B16" s="36"/>
      <c r="C16" s="52"/>
      <c r="D16" s="53"/>
      <c r="E16" s="53"/>
      <c r="F16" s="36"/>
      <c r="G16" s="36"/>
      <c r="H16" s="52"/>
      <c r="I16" s="36"/>
      <c r="J16" s="53"/>
      <c r="K16" s="53"/>
    </row>
    <row r="17" spans="2:11" ht="14.25" x14ac:dyDescent="0.2">
      <c r="B17" s="36"/>
      <c r="C17" s="52"/>
      <c r="D17" s="53"/>
      <c r="E17" s="53"/>
      <c r="F17" s="36"/>
      <c r="G17" s="36"/>
      <c r="H17" s="52"/>
      <c r="I17" s="36"/>
      <c r="J17" s="53"/>
      <c r="K17" s="53"/>
    </row>
    <row r="18" spans="2:11" ht="14.25" x14ac:dyDescent="0.2">
      <c r="B18" s="36"/>
      <c r="C18" s="52"/>
      <c r="D18" s="53"/>
      <c r="E18" s="53"/>
      <c r="F18" s="36"/>
      <c r="G18" s="36"/>
      <c r="H18" s="52"/>
      <c r="I18" s="36"/>
      <c r="J18" s="53"/>
      <c r="K18" s="53"/>
    </row>
    <row r="19" spans="2:11" ht="14.25" x14ac:dyDescent="0.2">
      <c r="B19" s="36"/>
      <c r="C19" s="52"/>
      <c r="D19" s="53"/>
      <c r="E19" s="53"/>
      <c r="F19" s="36"/>
      <c r="G19" s="36"/>
      <c r="H19" s="52"/>
      <c r="I19" s="36"/>
      <c r="J19" s="53"/>
      <c r="K19" s="53"/>
    </row>
    <row r="20" spans="2:11" ht="14.25" x14ac:dyDescent="0.2">
      <c r="B20" s="36"/>
      <c r="C20" s="52"/>
      <c r="D20" s="53"/>
      <c r="E20" s="53"/>
      <c r="F20" s="36"/>
      <c r="G20" s="36"/>
      <c r="H20" s="52"/>
      <c r="I20" s="36"/>
      <c r="J20" s="53"/>
      <c r="K20" s="53"/>
    </row>
    <row r="21" spans="2:11" ht="14.25" x14ac:dyDescent="0.2">
      <c r="B21" s="36"/>
      <c r="C21" s="52"/>
      <c r="D21" s="53"/>
      <c r="E21" s="53"/>
      <c r="F21" s="36"/>
      <c r="G21" s="36"/>
      <c r="H21" s="52"/>
      <c r="I21" s="36"/>
      <c r="J21" s="53"/>
      <c r="K21" s="53"/>
    </row>
    <row r="22" spans="2:11" ht="14.25" x14ac:dyDescent="0.2">
      <c r="B22" s="36"/>
      <c r="C22" s="52"/>
      <c r="D22" s="53"/>
      <c r="E22" s="53"/>
      <c r="F22" s="36"/>
      <c r="G22" s="36"/>
      <c r="H22" s="52"/>
      <c r="I22" s="36"/>
      <c r="J22" s="53"/>
      <c r="K22" s="53"/>
    </row>
    <row r="23" spans="2:11" ht="14.25" x14ac:dyDescent="0.2">
      <c r="B23" s="36"/>
      <c r="C23" s="52"/>
      <c r="D23" s="53"/>
      <c r="E23" s="53"/>
      <c r="F23" s="36"/>
      <c r="G23" s="36"/>
      <c r="H23" s="52"/>
      <c r="I23" s="36"/>
      <c r="J23" s="53"/>
      <c r="K23" s="53"/>
    </row>
    <row r="24" spans="2:11" ht="14.25" x14ac:dyDescent="0.2">
      <c r="B24" s="36"/>
      <c r="C24" s="52"/>
      <c r="D24" s="53"/>
      <c r="E24" s="53"/>
      <c r="F24" s="36"/>
      <c r="G24" s="36"/>
      <c r="H24" s="52"/>
      <c r="I24" s="36"/>
      <c r="J24" s="53"/>
      <c r="K24" s="53"/>
    </row>
    <row r="25" spans="2:11" ht="14.25" x14ac:dyDescent="0.2">
      <c r="B25" s="36"/>
      <c r="C25" s="52"/>
      <c r="D25" s="53"/>
      <c r="E25" s="53"/>
      <c r="F25" s="36"/>
      <c r="G25" s="36"/>
      <c r="H25" s="52"/>
      <c r="I25" s="36"/>
      <c r="J25" s="53"/>
      <c r="K25" s="53"/>
    </row>
    <row r="26" spans="2:11" ht="14.25" x14ac:dyDescent="0.2">
      <c r="B26" s="36"/>
      <c r="C26" s="52"/>
      <c r="D26" s="53"/>
      <c r="E26" s="53"/>
      <c r="F26" s="36"/>
      <c r="G26" s="36"/>
      <c r="H26" s="52"/>
      <c r="I26" s="36"/>
      <c r="J26" s="53"/>
      <c r="K26" s="53"/>
    </row>
    <row r="27" spans="2:11" ht="14.25" x14ac:dyDescent="0.2">
      <c r="B27" s="36"/>
      <c r="C27" s="52"/>
      <c r="D27" s="53"/>
      <c r="E27" s="53"/>
      <c r="F27" s="36"/>
      <c r="G27" s="36"/>
      <c r="H27" s="52"/>
      <c r="I27" s="36"/>
      <c r="J27" s="53"/>
      <c r="K27" s="53"/>
    </row>
    <row r="28" spans="2:11" ht="14.25" x14ac:dyDescent="0.2">
      <c r="B28" s="36"/>
      <c r="C28" s="52"/>
      <c r="D28" s="53"/>
      <c r="E28" s="53"/>
      <c r="F28" s="36"/>
      <c r="G28" s="36"/>
      <c r="H28" s="52"/>
      <c r="I28" s="36"/>
      <c r="J28" s="53"/>
      <c r="K28" s="53"/>
    </row>
    <row r="29" spans="2:11" ht="14.25" x14ac:dyDescent="0.2">
      <c r="B29" s="36"/>
      <c r="C29" s="52"/>
      <c r="D29" s="53"/>
      <c r="E29" s="53"/>
      <c r="F29" s="36"/>
      <c r="G29" s="36"/>
      <c r="H29" s="52"/>
      <c r="I29" s="36"/>
      <c r="J29" s="53"/>
      <c r="K29" s="53"/>
    </row>
    <row r="30" spans="2:11" ht="14.25" x14ac:dyDescent="0.2">
      <c r="B30" s="36"/>
      <c r="C30" s="52"/>
      <c r="D30" s="53"/>
      <c r="E30" s="53"/>
      <c r="F30" s="36"/>
      <c r="G30" s="36"/>
      <c r="H30" s="52"/>
      <c r="I30" s="36"/>
      <c r="J30" s="53"/>
      <c r="K30" s="53"/>
    </row>
    <row r="31" spans="2:11" ht="14.25" x14ac:dyDescent="0.2">
      <c r="B31" s="36"/>
      <c r="C31" s="52"/>
      <c r="D31" s="53"/>
      <c r="E31" s="53"/>
      <c r="F31" s="36"/>
      <c r="G31" s="36"/>
      <c r="H31" s="52"/>
      <c r="I31" s="36"/>
      <c r="J31" s="53"/>
      <c r="K31" s="53"/>
    </row>
    <row r="32" spans="2:11" ht="14.25" x14ac:dyDescent="0.2">
      <c r="B32" s="36"/>
      <c r="C32" s="52"/>
      <c r="D32" s="53"/>
      <c r="E32" s="53"/>
      <c r="F32" s="36"/>
      <c r="G32" s="36"/>
      <c r="H32" s="52"/>
      <c r="I32" s="36"/>
      <c r="J32" s="53"/>
      <c r="K32" s="53"/>
    </row>
    <row r="33" spans="2:11" ht="14.25" x14ac:dyDescent="0.2">
      <c r="B33" s="36"/>
      <c r="C33" s="52"/>
      <c r="D33" s="53"/>
      <c r="E33" s="53"/>
      <c r="F33" s="36"/>
      <c r="G33" s="36"/>
      <c r="H33" s="52"/>
      <c r="I33" s="36"/>
      <c r="J33" s="53"/>
      <c r="K33" s="53"/>
    </row>
    <row r="34" spans="2:11" ht="14.25" x14ac:dyDescent="0.2">
      <c r="B34" s="36"/>
      <c r="C34" s="52"/>
      <c r="D34" s="53"/>
      <c r="E34" s="53"/>
      <c r="F34" s="36"/>
      <c r="G34" s="36"/>
      <c r="H34" s="52"/>
      <c r="I34" s="36"/>
      <c r="J34" s="53"/>
      <c r="K34" s="53"/>
    </row>
    <row r="35" spans="2:11" ht="14.25" x14ac:dyDescent="0.2">
      <c r="B35" s="36"/>
      <c r="C35" s="52"/>
      <c r="D35" s="53"/>
      <c r="E35" s="53"/>
      <c r="F35" s="36"/>
      <c r="G35" s="36"/>
      <c r="H35" s="52"/>
      <c r="I35" s="36"/>
      <c r="J35" s="53"/>
      <c r="K35" s="53"/>
    </row>
    <row r="36" spans="2:11" ht="14.25" x14ac:dyDescent="0.2">
      <c r="B36" s="36"/>
      <c r="C36" s="52"/>
      <c r="D36" s="53"/>
      <c r="E36" s="53"/>
      <c r="F36" s="36"/>
      <c r="G36" s="36"/>
      <c r="H36" s="52"/>
      <c r="I36" s="36"/>
      <c r="J36" s="53"/>
      <c r="K36" s="53"/>
    </row>
    <row r="37" spans="2:11" ht="14.25" x14ac:dyDescent="0.2">
      <c r="B37" s="36"/>
      <c r="C37" s="52"/>
      <c r="D37" s="53"/>
      <c r="E37" s="53"/>
      <c r="F37" s="36"/>
      <c r="G37" s="36"/>
      <c r="H37" s="52"/>
      <c r="I37" s="36"/>
      <c r="J37" s="53"/>
      <c r="K37" s="53"/>
    </row>
    <row r="38" spans="2:11" ht="14.25" x14ac:dyDescent="0.2">
      <c r="B38" s="36"/>
      <c r="C38" s="52"/>
      <c r="D38" s="53"/>
      <c r="E38" s="53"/>
      <c r="F38" s="36"/>
      <c r="G38" s="36"/>
      <c r="H38" s="52"/>
      <c r="I38" s="36"/>
      <c r="J38" s="53"/>
      <c r="K38" s="53"/>
    </row>
    <row r="39" spans="2:11" ht="14.25" x14ac:dyDescent="0.2">
      <c r="B39" s="36"/>
      <c r="C39" s="52"/>
      <c r="D39" s="53"/>
      <c r="E39" s="53"/>
      <c r="F39" s="36"/>
      <c r="G39" s="36"/>
      <c r="H39" s="52"/>
      <c r="I39" s="36"/>
      <c r="J39" s="53"/>
      <c r="K39" s="53"/>
    </row>
    <row r="40" spans="2:11" ht="14.25" x14ac:dyDescent="0.2">
      <c r="B40" s="36"/>
      <c r="C40" s="52"/>
      <c r="D40" s="53"/>
      <c r="E40" s="53"/>
      <c r="F40" s="36"/>
      <c r="G40" s="36"/>
      <c r="H40" s="52"/>
      <c r="I40" s="36"/>
      <c r="J40" s="53"/>
      <c r="K40" s="53"/>
    </row>
    <row r="41" spans="2:11" ht="14.25" x14ac:dyDescent="0.2">
      <c r="B41" s="36"/>
      <c r="C41" s="52"/>
      <c r="D41" s="53"/>
      <c r="E41" s="53"/>
      <c r="F41" s="36"/>
      <c r="G41" s="36"/>
      <c r="H41" s="52"/>
      <c r="I41" s="36"/>
      <c r="J41" s="53"/>
      <c r="K41" s="53"/>
    </row>
    <row r="42" spans="2:11" ht="14.25" x14ac:dyDescent="0.2">
      <c r="B42" s="36"/>
      <c r="C42" s="52"/>
      <c r="D42" s="53"/>
      <c r="E42" s="53"/>
      <c r="F42" s="36"/>
      <c r="G42" s="36"/>
      <c r="H42" s="52"/>
      <c r="I42" s="36"/>
      <c r="J42" s="53"/>
      <c r="K42" s="53"/>
    </row>
    <row r="43" spans="2:11" ht="14.25" x14ac:dyDescent="0.2">
      <c r="B43" s="36"/>
      <c r="C43" s="52"/>
      <c r="D43" s="53"/>
      <c r="E43" s="53"/>
      <c r="F43" s="36"/>
      <c r="G43" s="36"/>
      <c r="H43" s="52"/>
      <c r="I43" s="36"/>
      <c r="J43" s="53"/>
      <c r="K43" s="53"/>
    </row>
    <row r="44" spans="2:11" ht="14.25" x14ac:dyDescent="0.2">
      <c r="B44" s="36"/>
      <c r="C44" s="52"/>
      <c r="D44" s="53"/>
      <c r="E44" s="53"/>
      <c r="F44" s="36"/>
      <c r="G44" s="36"/>
      <c r="H44" s="52"/>
      <c r="I44" s="36"/>
      <c r="J44" s="53"/>
      <c r="K44" s="53"/>
    </row>
    <row r="45" spans="2:11" ht="14.25" x14ac:dyDescent="0.2">
      <c r="B45" s="36"/>
      <c r="C45" s="52"/>
      <c r="D45" s="53"/>
      <c r="E45" s="53"/>
      <c r="F45" s="36"/>
      <c r="G45" s="36"/>
      <c r="H45" s="52"/>
      <c r="I45" s="36"/>
      <c r="J45" s="53"/>
      <c r="K45" s="53"/>
    </row>
    <row r="46" spans="2:11" ht="14.25" x14ac:dyDescent="0.2">
      <c r="B46" s="36"/>
      <c r="C46" s="52"/>
      <c r="D46" s="53"/>
      <c r="E46" s="53"/>
      <c r="F46" s="36"/>
      <c r="G46" s="36"/>
      <c r="H46" s="52"/>
      <c r="I46" s="36"/>
      <c r="J46" s="53"/>
      <c r="K46" s="53"/>
    </row>
    <row r="47" spans="2:11" ht="14.25" x14ac:dyDescent="0.2">
      <c r="B47" s="36"/>
      <c r="C47" s="52"/>
      <c r="D47" s="53"/>
      <c r="E47" s="53"/>
      <c r="F47" s="36"/>
      <c r="G47" s="36"/>
      <c r="H47" s="52"/>
      <c r="I47" s="36"/>
      <c r="J47" s="53"/>
      <c r="K47" s="53"/>
    </row>
    <row r="48" spans="2:11" ht="14.25" x14ac:dyDescent="0.2">
      <c r="B48" s="36"/>
      <c r="C48" s="52"/>
      <c r="D48" s="53"/>
      <c r="E48" s="53"/>
      <c r="F48" s="36"/>
      <c r="G48" s="36"/>
      <c r="H48" s="52"/>
      <c r="I48" s="36"/>
      <c r="J48" s="53"/>
      <c r="K48" s="53"/>
    </row>
    <row r="49" spans="2:11" ht="14.25" x14ac:dyDescent="0.2">
      <c r="B49" s="36"/>
      <c r="C49" s="52"/>
      <c r="D49" s="53"/>
      <c r="E49" s="53"/>
      <c r="F49" s="36"/>
      <c r="G49" s="36"/>
      <c r="H49" s="52"/>
      <c r="I49" s="36"/>
      <c r="J49" s="53"/>
      <c r="K49" s="53"/>
    </row>
    <row r="50" spans="2:11" ht="14.25" x14ac:dyDescent="0.2">
      <c r="B50" s="36"/>
      <c r="C50" s="52"/>
      <c r="D50" s="53"/>
      <c r="E50" s="53"/>
      <c r="F50" s="36"/>
      <c r="G50" s="36"/>
      <c r="H50" s="52"/>
      <c r="I50" s="36"/>
      <c r="J50" s="53"/>
      <c r="K50" s="53"/>
    </row>
    <row r="51" spans="2:11" ht="14.25" x14ac:dyDescent="0.2">
      <c r="C51" s="31"/>
      <c r="H51" s="31"/>
    </row>
    <row r="52" spans="2:11" ht="14.25" x14ac:dyDescent="0.2">
      <c r="C52" s="31"/>
      <c r="H52" s="31"/>
    </row>
    <row r="53" spans="2:11" ht="14.25" x14ac:dyDescent="0.2">
      <c r="C53" s="31"/>
      <c r="H53" s="31"/>
    </row>
    <row r="54" spans="2:11" ht="14.25" x14ac:dyDescent="0.2">
      <c r="C54" s="31"/>
      <c r="H54" s="31"/>
    </row>
    <row r="55" spans="2:11" ht="14.25" x14ac:dyDescent="0.2">
      <c r="C55" s="31"/>
      <c r="H55" s="31"/>
    </row>
    <row r="56" spans="2:11" ht="14.25" x14ac:dyDescent="0.2">
      <c r="C56" s="31"/>
      <c r="H56" s="31"/>
    </row>
    <row r="57" spans="2:11" ht="14.25" x14ac:dyDescent="0.2">
      <c r="C57" s="31"/>
      <c r="H57" s="31"/>
    </row>
    <row r="58" spans="2:11" ht="14.25" x14ac:dyDescent="0.2">
      <c r="C58" s="31"/>
      <c r="H58" s="31"/>
    </row>
    <row r="59" spans="2:11" ht="14.25" x14ac:dyDescent="0.2">
      <c r="C59" s="31"/>
      <c r="H59" s="31"/>
    </row>
    <row r="60" spans="2:11" ht="14.25" x14ac:dyDescent="0.2">
      <c r="C60" s="31"/>
      <c r="H60" s="31"/>
    </row>
    <row r="61" spans="2:11" ht="14.25" x14ac:dyDescent="0.2">
      <c r="C61" s="31"/>
      <c r="H61" s="31"/>
    </row>
    <row r="62" spans="2:11" ht="14.25" x14ac:dyDescent="0.2">
      <c r="C62" s="31"/>
      <c r="H62" s="31"/>
    </row>
    <row r="63" spans="2:11" ht="14.25" x14ac:dyDescent="0.2">
      <c r="C63" s="31"/>
      <c r="H63" s="31"/>
    </row>
    <row r="64" spans="2:11" ht="14.25" x14ac:dyDescent="0.2">
      <c r="C64" s="31"/>
      <c r="H64" s="31"/>
    </row>
    <row r="65" spans="3:8" ht="14.25" x14ac:dyDescent="0.2">
      <c r="C65" s="31"/>
      <c r="H65" s="31"/>
    </row>
    <row r="66" spans="3:8" ht="14.25" x14ac:dyDescent="0.2">
      <c r="C66" s="31"/>
      <c r="H66" s="31"/>
    </row>
    <row r="67" spans="3:8" ht="14.25" x14ac:dyDescent="0.2">
      <c r="C67" s="31"/>
      <c r="H67" s="31"/>
    </row>
    <row r="68" spans="3:8" ht="14.25" x14ac:dyDescent="0.2">
      <c r="C68" s="31"/>
      <c r="H68" s="31"/>
    </row>
    <row r="69" spans="3:8" ht="14.25" x14ac:dyDescent="0.2">
      <c r="C69" s="31"/>
      <c r="H69" s="31"/>
    </row>
    <row r="70" spans="3:8" ht="14.25" x14ac:dyDescent="0.2">
      <c r="C70" s="31"/>
      <c r="H70" s="31"/>
    </row>
    <row r="71" spans="3:8" ht="14.25" x14ac:dyDescent="0.2">
      <c r="C71" s="31"/>
      <c r="H71" s="31"/>
    </row>
    <row r="72" spans="3:8" ht="14.25" x14ac:dyDescent="0.2">
      <c r="C72" s="31"/>
      <c r="H72" s="31"/>
    </row>
    <row r="73" spans="3:8" ht="14.25" x14ac:dyDescent="0.2">
      <c r="C73" s="31"/>
      <c r="H73" s="31"/>
    </row>
    <row r="74" spans="3:8" ht="14.25" x14ac:dyDescent="0.2">
      <c r="C74" s="31"/>
      <c r="H74" s="31"/>
    </row>
    <row r="75" spans="3:8" ht="14.25" x14ac:dyDescent="0.2">
      <c r="C75" s="31"/>
      <c r="H75" s="31"/>
    </row>
    <row r="76" spans="3:8" ht="14.25" x14ac:dyDescent="0.2">
      <c r="C76" s="31"/>
      <c r="H76" s="31"/>
    </row>
    <row r="77" spans="3:8" ht="14.25" x14ac:dyDescent="0.2">
      <c r="C77" s="31"/>
      <c r="H77" s="31"/>
    </row>
    <row r="78" spans="3:8" ht="14.25" x14ac:dyDescent="0.2">
      <c r="C78" s="31"/>
      <c r="H78" s="31"/>
    </row>
    <row r="79" spans="3:8" ht="14.25" x14ac:dyDescent="0.2">
      <c r="C79" s="31"/>
      <c r="H79" s="31"/>
    </row>
    <row r="80" spans="3:8" ht="14.25" x14ac:dyDescent="0.2">
      <c r="C80" s="31"/>
      <c r="H80" s="31"/>
    </row>
    <row r="81" spans="3:8" ht="14.25" x14ac:dyDescent="0.2">
      <c r="C81" s="31"/>
      <c r="H81" s="31"/>
    </row>
    <row r="82" spans="3:8" ht="14.25" x14ac:dyDescent="0.2">
      <c r="C82" s="31"/>
      <c r="H82" s="31"/>
    </row>
    <row r="83" spans="3:8" ht="14.25" x14ac:dyDescent="0.2">
      <c r="C83" s="31"/>
      <c r="H83" s="31"/>
    </row>
    <row r="84" spans="3:8" ht="14.25" x14ac:dyDescent="0.2">
      <c r="C84" s="31"/>
      <c r="H84" s="31"/>
    </row>
    <row r="85" spans="3:8" ht="14.25" x14ac:dyDescent="0.2">
      <c r="C85" s="31"/>
      <c r="H85" s="31"/>
    </row>
    <row r="86" spans="3:8" ht="14.25" x14ac:dyDescent="0.2">
      <c r="C86" s="31"/>
      <c r="H86" s="31"/>
    </row>
    <row r="87" spans="3:8" ht="14.25" x14ac:dyDescent="0.2">
      <c r="C87" s="31"/>
      <c r="H87" s="31"/>
    </row>
    <row r="88" spans="3:8" ht="14.25" x14ac:dyDescent="0.2">
      <c r="C88" s="31"/>
      <c r="H88" s="31"/>
    </row>
    <row r="89" spans="3:8" ht="14.25" x14ac:dyDescent="0.2">
      <c r="C89" s="31"/>
      <c r="H89" s="31"/>
    </row>
    <row r="90" spans="3:8" ht="14.25" x14ac:dyDescent="0.2">
      <c r="C90" s="31"/>
      <c r="H90" s="31"/>
    </row>
    <row r="91" spans="3:8" ht="14.25" x14ac:dyDescent="0.2">
      <c r="C91" s="31"/>
      <c r="H91" s="31"/>
    </row>
    <row r="92" spans="3:8" ht="14.25" x14ac:dyDescent="0.2">
      <c r="C92" s="31"/>
      <c r="H92" s="31"/>
    </row>
    <row r="93" spans="3:8" ht="14.25" x14ac:dyDescent="0.2">
      <c r="C93" s="31"/>
      <c r="H93" s="31"/>
    </row>
    <row r="94" spans="3:8" ht="14.25" x14ac:dyDescent="0.2">
      <c r="C94" s="31"/>
      <c r="H94" s="31"/>
    </row>
    <row r="95" spans="3:8" ht="14.25" x14ac:dyDescent="0.2">
      <c r="C95" s="31"/>
      <c r="H95" s="31"/>
    </row>
    <row r="96" spans="3:8" ht="14.25" x14ac:dyDescent="0.2">
      <c r="C96" s="31"/>
      <c r="H96" s="31"/>
    </row>
    <row r="97" spans="3:8" ht="14.25" x14ac:dyDescent="0.2">
      <c r="C97" s="31"/>
      <c r="H97" s="31"/>
    </row>
    <row r="98" spans="3:8" ht="14.25" x14ac:dyDescent="0.2">
      <c r="C98" s="31"/>
      <c r="H98" s="31"/>
    </row>
    <row r="99" spans="3:8" ht="14.25" x14ac:dyDescent="0.2">
      <c r="C99" s="31"/>
      <c r="H99" s="31"/>
    </row>
    <row r="100" spans="3:8" ht="14.25" x14ac:dyDescent="0.2">
      <c r="C100" s="31"/>
      <c r="H100" s="31"/>
    </row>
    <row r="101" spans="3:8" ht="14.25" x14ac:dyDescent="0.2">
      <c r="C101" s="31"/>
      <c r="H101" s="31"/>
    </row>
    <row r="102" spans="3:8" ht="14.25" x14ac:dyDescent="0.2">
      <c r="C102" s="31"/>
      <c r="H102" s="31"/>
    </row>
    <row r="103" spans="3:8" ht="14.25" x14ac:dyDescent="0.2">
      <c r="C103" s="31"/>
      <c r="H103" s="31"/>
    </row>
    <row r="104" spans="3:8" ht="14.25" x14ac:dyDescent="0.2">
      <c r="C104" s="31"/>
      <c r="H104" s="31"/>
    </row>
    <row r="105" spans="3:8" ht="14.25" x14ac:dyDescent="0.2">
      <c r="C105" s="31"/>
      <c r="H105" s="31"/>
    </row>
    <row r="106" spans="3:8" ht="14.25" x14ac:dyDescent="0.2">
      <c r="C106" s="31"/>
      <c r="H106" s="31"/>
    </row>
    <row r="107" spans="3:8" ht="14.25" x14ac:dyDescent="0.2">
      <c r="C107" s="31"/>
      <c r="H107" s="31"/>
    </row>
    <row r="108" spans="3:8" ht="14.25" x14ac:dyDescent="0.2">
      <c r="C108" s="31"/>
      <c r="H108" s="31"/>
    </row>
    <row r="109" spans="3:8" ht="14.25" x14ac:dyDescent="0.2">
      <c r="C109" s="31"/>
      <c r="H109" s="31"/>
    </row>
    <row r="110" spans="3:8" ht="14.25" x14ac:dyDescent="0.2">
      <c r="C110" s="31"/>
      <c r="H110" s="31"/>
    </row>
    <row r="111" spans="3:8" ht="14.25" x14ac:dyDescent="0.2">
      <c r="C111" s="31"/>
      <c r="H111" s="31"/>
    </row>
    <row r="112" spans="3:8" ht="14.25" x14ac:dyDescent="0.2">
      <c r="C112" s="31"/>
      <c r="H112" s="31"/>
    </row>
    <row r="113" spans="3:8" ht="14.25" x14ac:dyDescent="0.2">
      <c r="C113" s="31"/>
      <c r="H113" s="31"/>
    </row>
    <row r="114" spans="3:8" ht="14.25" x14ac:dyDescent="0.2">
      <c r="C114" s="31"/>
      <c r="H114" s="31"/>
    </row>
    <row r="115" spans="3:8" ht="14.25" x14ac:dyDescent="0.2">
      <c r="C115" s="31"/>
      <c r="H115" s="31"/>
    </row>
    <row r="116" spans="3:8" ht="14.25" x14ac:dyDescent="0.2">
      <c r="C116" s="31"/>
      <c r="H116" s="31"/>
    </row>
    <row r="117" spans="3:8" ht="14.25" x14ac:dyDescent="0.2">
      <c r="C117" s="31"/>
      <c r="H117" s="31"/>
    </row>
    <row r="118" spans="3:8" ht="14.25" x14ac:dyDescent="0.2">
      <c r="C118" s="31"/>
      <c r="H118" s="31"/>
    </row>
    <row r="119" spans="3:8" ht="14.25" x14ac:dyDescent="0.2">
      <c r="C119" s="31"/>
      <c r="H119" s="31"/>
    </row>
    <row r="120" spans="3:8" ht="14.25" x14ac:dyDescent="0.2">
      <c r="C120" s="31"/>
      <c r="H120" s="31"/>
    </row>
    <row r="121" spans="3:8" ht="14.25" x14ac:dyDescent="0.2">
      <c r="C121" s="31"/>
      <c r="H121" s="31"/>
    </row>
    <row r="122" spans="3:8" ht="14.25" x14ac:dyDescent="0.2">
      <c r="C122" s="31"/>
      <c r="H122" s="31"/>
    </row>
    <row r="123" spans="3:8" ht="14.25" x14ac:dyDescent="0.2">
      <c r="C123" s="31"/>
      <c r="H123" s="31"/>
    </row>
    <row r="124" spans="3:8" ht="14.25" x14ac:dyDescent="0.2">
      <c r="C124" s="31"/>
      <c r="H124" s="31"/>
    </row>
    <row r="125" spans="3:8" ht="14.25" x14ac:dyDescent="0.2">
      <c r="C125" s="31"/>
      <c r="H125" s="31"/>
    </row>
    <row r="126" spans="3:8" ht="14.25" x14ac:dyDescent="0.2">
      <c r="C126" s="31"/>
      <c r="H126" s="31"/>
    </row>
    <row r="127" spans="3:8" ht="14.25" x14ac:dyDescent="0.2">
      <c r="C127" s="31"/>
      <c r="H127" s="31"/>
    </row>
    <row r="128" spans="3:8" ht="14.25" x14ac:dyDescent="0.2">
      <c r="C128" s="31"/>
      <c r="H128" s="31"/>
    </row>
    <row r="129" spans="3:8" ht="14.25" x14ac:dyDescent="0.2">
      <c r="C129" s="31"/>
      <c r="H129" s="31"/>
    </row>
    <row r="130" spans="3:8" ht="14.25" x14ac:dyDescent="0.2">
      <c r="C130" s="31"/>
      <c r="H130" s="31"/>
    </row>
    <row r="131" spans="3:8" ht="14.25" x14ac:dyDescent="0.2">
      <c r="C131" s="31"/>
      <c r="H131" s="31"/>
    </row>
    <row r="132" spans="3:8" ht="14.25" x14ac:dyDescent="0.2">
      <c r="C132" s="31"/>
      <c r="H132" s="31"/>
    </row>
    <row r="133" spans="3:8" ht="14.25" x14ac:dyDescent="0.2">
      <c r="C133" s="31"/>
      <c r="H133" s="31"/>
    </row>
    <row r="134" spans="3:8" ht="14.25" x14ac:dyDescent="0.2">
      <c r="C134" s="31"/>
      <c r="H134" s="31"/>
    </row>
    <row r="135" spans="3:8" ht="14.25" x14ac:dyDescent="0.2">
      <c r="C135" s="31"/>
      <c r="H135" s="31"/>
    </row>
    <row r="136" spans="3:8" ht="14.25" x14ac:dyDescent="0.2">
      <c r="C136" s="31"/>
      <c r="H136" s="31"/>
    </row>
    <row r="137" spans="3:8" ht="14.25" x14ac:dyDescent="0.2">
      <c r="C137" s="31"/>
      <c r="H137" s="31"/>
    </row>
    <row r="138" spans="3:8" ht="14.25" x14ac:dyDescent="0.2">
      <c r="C138" s="31"/>
      <c r="H138" s="31"/>
    </row>
    <row r="139" spans="3:8" ht="14.25" x14ac:dyDescent="0.2">
      <c r="C139" s="31"/>
      <c r="H139" s="31"/>
    </row>
    <row r="140" spans="3:8" ht="14.25" x14ac:dyDescent="0.2">
      <c r="C140" s="31"/>
      <c r="H140" s="31"/>
    </row>
    <row r="141" spans="3:8" ht="14.25" x14ac:dyDescent="0.2">
      <c r="C141" s="31"/>
      <c r="H141" s="31"/>
    </row>
    <row r="142" spans="3:8" ht="14.25" x14ac:dyDescent="0.2">
      <c r="C142" s="31"/>
      <c r="H142" s="31"/>
    </row>
    <row r="143" spans="3:8" ht="14.25" x14ac:dyDescent="0.2">
      <c r="C143" s="31"/>
      <c r="H143" s="31"/>
    </row>
    <row r="144" spans="3:8" ht="14.25" x14ac:dyDescent="0.2">
      <c r="C144" s="31"/>
      <c r="H144" s="31"/>
    </row>
    <row r="145" spans="3:8" ht="14.25" x14ac:dyDescent="0.2">
      <c r="C145" s="31"/>
      <c r="H145" s="31"/>
    </row>
    <row r="146" spans="3:8" ht="14.25" x14ac:dyDescent="0.2">
      <c r="C146" s="31"/>
      <c r="H146" s="31"/>
    </row>
    <row r="147" spans="3:8" ht="14.25" x14ac:dyDescent="0.2">
      <c r="C147" s="31"/>
      <c r="H147" s="31"/>
    </row>
    <row r="148" spans="3:8" ht="14.25" x14ac:dyDescent="0.2">
      <c r="C148" s="31"/>
      <c r="H148" s="31"/>
    </row>
    <row r="149" spans="3:8" ht="14.25" x14ac:dyDescent="0.2">
      <c r="C149" s="31"/>
      <c r="H149" s="31"/>
    </row>
    <row r="150" spans="3:8" ht="14.25" x14ac:dyDescent="0.2">
      <c r="C150" s="31"/>
      <c r="H150" s="31"/>
    </row>
    <row r="151" spans="3:8" ht="14.25" x14ac:dyDescent="0.2">
      <c r="C151" s="31"/>
      <c r="H151" s="31"/>
    </row>
    <row r="152" spans="3:8" ht="14.25" x14ac:dyDescent="0.2">
      <c r="C152" s="31"/>
      <c r="H152" s="31"/>
    </row>
    <row r="153" spans="3:8" ht="14.25" x14ac:dyDescent="0.2">
      <c r="C153" s="31"/>
      <c r="H153" s="31"/>
    </row>
    <row r="154" spans="3:8" ht="14.25" x14ac:dyDescent="0.2">
      <c r="C154" s="31"/>
      <c r="H154" s="31"/>
    </row>
    <row r="155" spans="3:8" ht="14.25" x14ac:dyDescent="0.2">
      <c r="C155" s="31"/>
      <c r="H155" s="31"/>
    </row>
    <row r="156" spans="3:8" ht="14.25" x14ac:dyDescent="0.2">
      <c r="C156" s="31"/>
      <c r="H156" s="31"/>
    </row>
    <row r="157" spans="3:8" ht="14.25" x14ac:dyDescent="0.2">
      <c r="C157" s="31"/>
      <c r="H157" s="31"/>
    </row>
    <row r="158" spans="3:8" ht="14.25" x14ac:dyDescent="0.2">
      <c r="C158" s="31"/>
      <c r="H158" s="31"/>
    </row>
    <row r="159" spans="3:8" ht="14.25" x14ac:dyDescent="0.2">
      <c r="C159" s="31"/>
      <c r="H159" s="31"/>
    </row>
    <row r="160" spans="3:8" ht="14.25" x14ac:dyDescent="0.2">
      <c r="C160" s="31"/>
      <c r="H160" s="31"/>
    </row>
    <row r="161" spans="3:8" ht="14.25" x14ac:dyDescent="0.2">
      <c r="C161" s="31"/>
      <c r="H161" s="31"/>
    </row>
    <row r="162" spans="3:8" ht="14.25" x14ac:dyDescent="0.2">
      <c r="C162" s="31"/>
      <c r="H162" s="31"/>
    </row>
    <row r="163" spans="3:8" ht="14.25" x14ac:dyDescent="0.2">
      <c r="C163" s="31"/>
      <c r="H163" s="31"/>
    </row>
    <row r="164" spans="3:8" ht="14.25" x14ac:dyDescent="0.2">
      <c r="C164" s="31"/>
      <c r="H164" s="31"/>
    </row>
    <row r="165" spans="3:8" ht="14.25" x14ac:dyDescent="0.2">
      <c r="C165" s="31"/>
      <c r="H165" s="31"/>
    </row>
    <row r="166" spans="3:8" ht="14.25" x14ac:dyDescent="0.2">
      <c r="C166" s="31"/>
      <c r="H166" s="31"/>
    </row>
    <row r="167" spans="3:8" ht="14.25" x14ac:dyDescent="0.2">
      <c r="C167" s="31"/>
      <c r="H167" s="31"/>
    </row>
    <row r="168" spans="3:8" ht="14.25" x14ac:dyDescent="0.2">
      <c r="C168" s="31"/>
      <c r="H168" s="31"/>
    </row>
    <row r="169" spans="3:8" ht="14.25" x14ac:dyDescent="0.2">
      <c r="C169" s="31"/>
      <c r="H169" s="31"/>
    </row>
    <row r="170" spans="3:8" ht="14.25" x14ac:dyDescent="0.2">
      <c r="C170" s="31"/>
      <c r="H170" s="31"/>
    </row>
    <row r="171" spans="3:8" ht="14.25" x14ac:dyDescent="0.2">
      <c r="C171" s="31"/>
      <c r="H171" s="31"/>
    </row>
    <row r="172" spans="3:8" ht="14.25" x14ac:dyDescent="0.2">
      <c r="C172" s="31"/>
      <c r="H172" s="31"/>
    </row>
    <row r="173" spans="3:8" ht="14.25" x14ac:dyDescent="0.2">
      <c r="C173" s="31"/>
      <c r="H173" s="31"/>
    </row>
    <row r="174" spans="3:8" ht="14.25" x14ac:dyDescent="0.2">
      <c r="C174" s="31"/>
      <c r="H174" s="31"/>
    </row>
    <row r="175" spans="3:8" ht="14.25" x14ac:dyDescent="0.2">
      <c r="C175" s="31"/>
      <c r="H175" s="31"/>
    </row>
    <row r="176" spans="3:8" ht="14.25" x14ac:dyDescent="0.2">
      <c r="C176" s="31"/>
      <c r="H176" s="31"/>
    </row>
    <row r="177" spans="3:8" ht="14.25" x14ac:dyDescent="0.2">
      <c r="C177" s="31"/>
      <c r="H177" s="31"/>
    </row>
    <row r="178" spans="3:8" ht="14.25" x14ac:dyDescent="0.2">
      <c r="C178" s="31"/>
      <c r="H178" s="31"/>
    </row>
    <row r="179" spans="3:8" ht="14.25" x14ac:dyDescent="0.2">
      <c r="C179" s="31"/>
      <c r="H179" s="31"/>
    </row>
    <row r="180" spans="3:8" ht="14.25" x14ac:dyDescent="0.2">
      <c r="C180" s="31"/>
      <c r="H180" s="31"/>
    </row>
    <row r="181" spans="3:8" ht="14.25" x14ac:dyDescent="0.2">
      <c r="C181" s="31"/>
      <c r="H181" s="31"/>
    </row>
    <row r="182" spans="3:8" ht="14.25" x14ac:dyDescent="0.2">
      <c r="C182" s="31"/>
      <c r="H182" s="31"/>
    </row>
    <row r="183" spans="3:8" ht="14.25" x14ac:dyDescent="0.2">
      <c r="C183" s="31"/>
      <c r="H183" s="31"/>
    </row>
    <row r="184" spans="3:8" ht="14.25" x14ac:dyDescent="0.2">
      <c r="C184" s="31"/>
      <c r="H184" s="31"/>
    </row>
    <row r="185" spans="3:8" ht="14.25" x14ac:dyDescent="0.2">
      <c r="C185" s="31"/>
      <c r="H185" s="31"/>
    </row>
    <row r="186" spans="3:8" ht="14.25" x14ac:dyDescent="0.2">
      <c r="C186" s="31"/>
      <c r="H186" s="31"/>
    </row>
    <row r="187" spans="3:8" ht="14.25" x14ac:dyDescent="0.2">
      <c r="C187" s="31"/>
      <c r="H187" s="31"/>
    </row>
    <row r="188" spans="3:8" ht="14.25" x14ac:dyDescent="0.2">
      <c r="C188" s="31"/>
      <c r="H188" s="31"/>
    </row>
    <row r="189" spans="3:8" ht="14.25" x14ac:dyDescent="0.2">
      <c r="C189" s="31"/>
      <c r="H189" s="31"/>
    </row>
    <row r="190" spans="3:8" ht="14.25" x14ac:dyDescent="0.2">
      <c r="C190" s="31"/>
      <c r="H190" s="31"/>
    </row>
    <row r="191" spans="3:8" ht="14.25" x14ac:dyDescent="0.2">
      <c r="C191" s="31"/>
      <c r="H191" s="31"/>
    </row>
    <row r="192" spans="3:8" ht="14.25" x14ac:dyDescent="0.2">
      <c r="C192" s="31"/>
      <c r="H192" s="31"/>
    </row>
    <row r="193" spans="3:8" ht="14.25" x14ac:dyDescent="0.2">
      <c r="C193" s="31"/>
      <c r="H193" s="31"/>
    </row>
    <row r="194" spans="3:8" ht="14.25" x14ac:dyDescent="0.2">
      <c r="C194" s="31"/>
      <c r="H194" s="31"/>
    </row>
    <row r="195" spans="3:8" ht="14.25" x14ac:dyDescent="0.2">
      <c r="C195" s="31"/>
      <c r="H195" s="31"/>
    </row>
    <row r="196" spans="3:8" ht="14.25" x14ac:dyDescent="0.2">
      <c r="C196" s="31"/>
      <c r="H196" s="31"/>
    </row>
    <row r="197" spans="3:8" ht="14.25" x14ac:dyDescent="0.2">
      <c r="C197" s="31"/>
      <c r="H197" s="31"/>
    </row>
    <row r="198" spans="3:8" ht="14.25" x14ac:dyDescent="0.2">
      <c r="C198" s="31"/>
      <c r="H198" s="31"/>
    </row>
    <row r="199" spans="3:8" ht="14.25" x14ac:dyDescent="0.2">
      <c r="C199" s="31"/>
      <c r="H199" s="31"/>
    </row>
    <row r="200" spans="3:8" ht="14.25" x14ac:dyDescent="0.2">
      <c r="C200" s="31"/>
      <c r="H200" s="31"/>
    </row>
    <row r="201" spans="3:8" ht="14.25" x14ac:dyDescent="0.2">
      <c r="C201" s="31"/>
      <c r="H201" s="31"/>
    </row>
    <row r="202" spans="3:8" ht="14.25" x14ac:dyDescent="0.2">
      <c r="C202" s="31"/>
      <c r="H202" s="31"/>
    </row>
    <row r="203" spans="3:8" ht="14.25" x14ac:dyDescent="0.2">
      <c r="C203" s="31"/>
      <c r="H203" s="31"/>
    </row>
    <row r="204" spans="3:8" ht="14.25" x14ac:dyDescent="0.2">
      <c r="C204" s="31"/>
      <c r="H204" s="31"/>
    </row>
    <row r="205" spans="3:8" ht="14.25" x14ac:dyDescent="0.2">
      <c r="C205" s="31"/>
      <c r="H205" s="31"/>
    </row>
    <row r="206" spans="3:8" ht="14.25" x14ac:dyDescent="0.2">
      <c r="C206" s="31"/>
      <c r="H206" s="31"/>
    </row>
    <row r="207" spans="3:8" ht="14.25" x14ac:dyDescent="0.2">
      <c r="C207" s="31"/>
      <c r="H207" s="31"/>
    </row>
    <row r="208" spans="3:8" ht="14.25" x14ac:dyDescent="0.2">
      <c r="C208" s="31"/>
      <c r="H208" s="31"/>
    </row>
    <row r="209" spans="3:8" ht="14.25" x14ac:dyDescent="0.2">
      <c r="C209" s="31"/>
      <c r="H209" s="31"/>
    </row>
    <row r="210" spans="3:8" ht="14.25" x14ac:dyDescent="0.2">
      <c r="C210" s="31"/>
      <c r="H210" s="31"/>
    </row>
    <row r="211" spans="3:8" ht="14.25" x14ac:dyDescent="0.2">
      <c r="C211" s="31"/>
      <c r="H211" s="31"/>
    </row>
    <row r="212" spans="3:8" ht="14.25" x14ac:dyDescent="0.2">
      <c r="C212" s="31"/>
      <c r="H212" s="31"/>
    </row>
    <row r="213" spans="3:8" ht="14.25" x14ac:dyDescent="0.2">
      <c r="C213" s="31"/>
      <c r="H213" s="31"/>
    </row>
    <row r="214" spans="3:8" ht="14.25" x14ac:dyDescent="0.2">
      <c r="C214" s="31"/>
      <c r="H214" s="31"/>
    </row>
    <row r="215" spans="3:8" ht="14.25" x14ac:dyDescent="0.2">
      <c r="C215" s="31"/>
      <c r="H215" s="31"/>
    </row>
    <row r="216" spans="3:8" ht="14.25" x14ac:dyDescent="0.2">
      <c r="C216" s="31"/>
      <c r="H216" s="31"/>
    </row>
    <row r="217" spans="3:8" ht="14.25" x14ac:dyDescent="0.2">
      <c r="C217" s="31"/>
      <c r="H217" s="31"/>
    </row>
    <row r="218" spans="3:8" ht="14.25" x14ac:dyDescent="0.2">
      <c r="C218" s="31"/>
      <c r="H218" s="31"/>
    </row>
    <row r="219" spans="3:8" ht="14.25" x14ac:dyDescent="0.2">
      <c r="C219" s="31"/>
      <c r="H219" s="31"/>
    </row>
    <row r="220" spans="3:8" ht="14.25" x14ac:dyDescent="0.2">
      <c r="C220" s="31"/>
      <c r="H220" s="31"/>
    </row>
    <row r="221" spans="3:8" ht="14.25" x14ac:dyDescent="0.2">
      <c r="C221" s="31"/>
      <c r="H221" s="31"/>
    </row>
    <row r="222" spans="3:8" ht="14.25" x14ac:dyDescent="0.2">
      <c r="C222" s="31"/>
      <c r="H222" s="31"/>
    </row>
    <row r="223" spans="3:8" ht="14.25" x14ac:dyDescent="0.2">
      <c r="C223" s="31"/>
      <c r="H223" s="31"/>
    </row>
    <row r="224" spans="3:8" ht="14.25" x14ac:dyDescent="0.2">
      <c r="C224" s="31"/>
      <c r="H224" s="31"/>
    </row>
    <row r="225" spans="3:8" ht="14.25" x14ac:dyDescent="0.2">
      <c r="C225" s="31"/>
      <c r="H225" s="31"/>
    </row>
    <row r="226" spans="3:8" ht="14.25" x14ac:dyDescent="0.2">
      <c r="C226" s="31"/>
      <c r="H226" s="31"/>
    </row>
    <row r="227" spans="3:8" ht="14.25" x14ac:dyDescent="0.2">
      <c r="C227" s="31"/>
      <c r="H227" s="31"/>
    </row>
    <row r="228" spans="3:8" ht="14.25" x14ac:dyDescent="0.2">
      <c r="C228" s="31"/>
      <c r="H228" s="31"/>
    </row>
    <row r="229" spans="3:8" ht="14.25" x14ac:dyDescent="0.2">
      <c r="C229" s="31"/>
      <c r="H229" s="31"/>
    </row>
    <row r="230" spans="3:8" ht="14.25" x14ac:dyDescent="0.2">
      <c r="C230" s="31"/>
      <c r="H230" s="31"/>
    </row>
    <row r="231" spans="3:8" ht="14.25" x14ac:dyDescent="0.2">
      <c r="C231" s="31"/>
      <c r="H231" s="31"/>
    </row>
    <row r="232" spans="3:8" ht="14.25" x14ac:dyDescent="0.2">
      <c r="C232" s="31"/>
      <c r="H232" s="31"/>
    </row>
    <row r="233" spans="3:8" ht="14.25" x14ac:dyDescent="0.2">
      <c r="C233" s="31"/>
      <c r="H233" s="31"/>
    </row>
    <row r="234" spans="3:8" ht="14.25" x14ac:dyDescent="0.2">
      <c r="C234" s="31"/>
      <c r="H234" s="31"/>
    </row>
    <row r="235" spans="3:8" ht="14.25" x14ac:dyDescent="0.2">
      <c r="C235" s="31"/>
      <c r="H235" s="31"/>
    </row>
    <row r="236" spans="3:8" ht="14.25" x14ac:dyDescent="0.2">
      <c r="C236" s="31"/>
      <c r="H236" s="31"/>
    </row>
    <row r="237" spans="3:8" ht="14.25" x14ac:dyDescent="0.2">
      <c r="C237" s="31"/>
      <c r="H237" s="31"/>
    </row>
    <row r="238" spans="3:8" ht="14.25" x14ac:dyDescent="0.2">
      <c r="C238" s="31"/>
      <c r="H238" s="31"/>
    </row>
    <row r="239" spans="3:8" ht="14.25" x14ac:dyDescent="0.2">
      <c r="C239" s="31"/>
      <c r="H239" s="31"/>
    </row>
    <row r="240" spans="3:8" ht="14.25" x14ac:dyDescent="0.2">
      <c r="C240" s="31"/>
      <c r="H240" s="31"/>
    </row>
    <row r="241" spans="3:8" ht="14.25" x14ac:dyDescent="0.2">
      <c r="C241" s="31"/>
      <c r="H241" s="31"/>
    </row>
    <row r="242" spans="3:8" ht="14.25" x14ac:dyDescent="0.2">
      <c r="C242" s="31"/>
      <c r="H242" s="31"/>
    </row>
    <row r="243" spans="3:8" ht="14.25" x14ac:dyDescent="0.2">
      <c r="C243" s="31"/>
      <c r="H243" s="31"/>
    </row>
    <row r="244" spans="3:8" ht="14.25" x14ac:dyDescent="0.2">
      <c r="C244" s="31"/>
      <c r="H244" s="31"/>
    </row>
    <row r="245" spans="3:8" ht="14.25" x14ac:dyDescent="0.2">
      <c r="C245" s="31"/>
      <c r="H245" s="31"/>
    </row>
    <row r="246" spans="3:8" ht="14.25" x14ac:dyDescent="0.2">
      <c r="C246" s="31"/>
      <c r="H246" s="31"/>
    </row>
    <row r="247" spans="3:8" ht="14.25" x14ac:dyDescent="0.2">
      <c r="C247" s="31"/>
      <c r="H247" s="31"/>
    </row>
    <row r="248" spans="3:8" ht="14.25" x14ac:dyDescent="0.2">
      <c r="C248" s="31"/>
      <c r="H248" s="31"/>
    </row>
    <row r="249" spans="3:8" ht="14.25" x14ac:dyDescent="0.2">
      <c r="C249" s="31"/>
      <c r="H249" s="31"/>
    </row>
    <row r="250" spans="3:8" ht="14.25" x14ac:dyDescent="0.2">
      <c r="C250" s="31"/>
      <c r="H250" s="31"/>
    </row>
    <row r="251" spans="3:8" ht="14.25" x14ac:dyDescent="0.2">
      <c r="C251" s="31"/>
      <c r="H251" s="31"/>
    </row>
    <row r="252" spans="3:8" ht="14.25" x14ac:dyDescent="0.2">
      <c r="C252" s="31"/>
      <c r="H252" s="31"/>
    </row>
    <row r="253" spans="3:8" ht="14.25" x14ac:dyDescent="0.2">
      <c r="C253" s="31"/>
      <c r="H253" s="31"/>
    </row>
    <row r="254" spans="3:8" ht="14.25" x14ac:dyDescent="0.2">
      <c r="C254" s="31"/>
      <c r="H254" s="31"/>
    </row>
    <row r="255" spans="3:8" ht="14.25" x14ac:dyDescent="0.2">
      <c r="C255" s="31"/>
      <c r="H255" s="31"/>
    </row>
    <row r="256" spans="3:8" ht="14.25" x14ac:dyDescent="0.2">
      <c r="C256" s="31"/>
      <c r="H256" s="31"/>
    </row>
    <row r="257" spans="3:8" ht="14.25" x14ac:dyDescent="0.2">
      <c r="C257" s="31"/>
      <c r="H257" s="31"/>
    </row>
    <row r="258" spans="3:8" ht="14.25" x14ac:dyDescent="0.2">
      <c r="C258" s="31"/>
      <c r="H258" s="31"/>
    </row>
    <row r="259" spans="3:8" ht="14.25" x14ac:dyDescent="0.2">
      <c r="C259" s="31"/>
      <c r="H259" s="31"/>
    </row>
    <row r="260" spans="3:8" ht="14.25" x14ac:dyDescent="0.2">
      <c r="C260" s="31"/>
      <c r="H260" s="31"/>
    </row>
    <row r="261" spans="3:8" ht="14.25" x14ac:dyDescent="0.2">
      <c r="C261" s="31"/>
      <c r="H261" s="31"/>
    </row>
    <row r="262" spans="3:8" ht="14.25" x14ac:dyDescent="0.2">
      <c r="C262" s="31"/>
      <c r="H262" s="31"/>
    </row>
    <row r="263" spans="3:8" ht="14.25" x14ac:dyDescent="0.2">
      <c r="C263" s="31"/>
      <c r="H263" s="31"/>
    </row>
    <row r="264" spans="3:8" ht="14.25" x14ac:dyDescent="0.2">
      <c r="C264" s="31"/>
      <c r="H264" s="31"/>
    </row>
    <row r="265" spans="3:8" ht="14.25" x14ac:dyDescent="0.2">
      <c r="C265" s="31"/>
      <c r="H265" s="31"/>
    </row>
    <row r="266" spans="3:8" ht="14.25" x14ac:dyDescent="0.2">
      <c r="C266" s="31"/>
      <c r="H266" s="31"/>
    </row>
    <row r="267" spans="3:8" ht="14.25" x14ac:dyDescent="0.2">
      <c r="C267" s="31"/>
      <c r="H267" s="31"/>
    </row>
    <row r="268" spans="3:8" ht="14.25" x14ac:dyDescent="0.2">
      <c r="C268" s="31"/>
      <c r="H268" s="31"/>
    </row>
    <row r="269" spans="3:8" ht="14.25" x14ac:dyDescent="0.2">
      <c r="C269" s="31"/>
      <c r="H269" s="31"/>
    </row>
    <row r="270" spans="3:8" ht="14.25" x14ac:dyDescent="0.2">
      <c r="C270" s="31"/>
      <c r="H270" s="31"/>
    </row>
    <row r="271" spans="3:8" ht="14.25" x14ac:dyDescent="0.2">
      <c r="C271" s="31"/>
      <c r="H271" s="31"/>
    </row>
    <row r="272" spans="3:8" ht="14.25" x14ac:dyDescent="0.2">
      <c r="C272" s="31"/>
      <c r="H272" s="31"/>
    </row>
    <row r="273" spans="3:8" ht="14.25" x14ac:dyDescent="0.2">
      <c r="C273" s="31"/>
      <c r="H273" s="31"/>
    </row>
    <row r="274" spans="3:8" ht="14.25" x14ac:dyDescent="0.2">
      <c r="C274" s="31"/>
      <c r="H274" s="31"/>
    </row>
    <row r="275" spans="3:8" ht="14.25" x14ac:dyDescent="0.2">
      <c r="C275" s="31"/>
      <c r="H275" s="31"/>
    </row>
    <row r="276" spans="3:8" ht="14.25" x14ac:dyDescent="0.2">
      <c r="C276" s="31"/>
      <c r="H276" s="31"/>
    </row>
    <row r="277" spans="3:8" ht="14.25" x14ac:dyDescent="0.2">
      <c r="C277" s="31"/>
      <c r="H277" s="31"/>
    </row>
    <row r="278" spans="3:8" ht="14.25" x14ac:dyDescent="0.2">
      <c r="C278" s="31"/>
      <c r="H278" s="31"/>
    </row>
    <row r="279" spans="3:8" ht="14.25" x14ac:dyDescent="0.2">
      <c r="C279" s="31"/>
      <c r="H279" s="31"/>
    </row>
    <row r="280" spans="3:8" ht="14.25" x14ac:dyDescent="0.2">
      <c r="C280" s="31"/>
      <c r="H280" s="31"/>
    </row>
    <row r="281" spans="3:8" ht="14.25" x14ac:dyDescent="0.2">
      <c r="C281" s="31"/>
      <c r="H281" s="31"/>
    </row>
    <row r="282" spans="3:8" ht="14.25" x14ac:dyDescent="0.2">
      <c r="C282" s="31"/>
      <c r="H282" s="31"/>
    </row>
    <row r="283" spans="3:8" ht="14.25" x14ac:dyDescent="0.2">
      <c r="C283" s="31"/>
      <c r="H283" s="31"/>
    </row>
    <row r="284" spans="3:8" ht="14.25" x14ac:dyDescent="0.2">
      <c r="C284" s="31"/>
      <c r="H284" s="31"/>
    </row>
    <row r="285" spans="3:8" ht="14.25" x14ac:dyDescent="0.2">
      <c r="C285" s="31"/>
      <c r="H285" s="31"/>
    </row>
    <row r="286" spans="3:8" ht="14.25" x14ac:dyDescent="0.2">
      <c r="C286" s="31"/>
      <c r="H286" s="31"/>
    </row>
    <row r="287" spans="3:8" ht="14.25" x14ac:dyDescent="0.2">
      <c r="C287" s="31"/>
      <c r="H287" s="31"/>
    </row>
    <row r="288" spans="3:8" ht="14.25" x14ac:dyDescent="0.2">
      <c r="C288" s="31"/>
      <c r="H288" s="31"/>
    </row>
    <row r="289" spans="3:8" ht="14.25" x14ac:dyDescent="0.2">
      <c r="C289" s="31"/>
      <c r="H289" s="31"/>
    </row>
    <row r="290" spans="3:8" ht="14.25" x14ac:dyDescent="0.2">
      <c r="C290" s="31"/>
      <c r="H290" s="31"/>
    </row>
    <row r="291" spans="3:8" ht="14.25" x14ac:dyDescent="0.2">
      <c r="C291" s="31"/>
      <c r="H291" s="31"/>
    </row>
    <row r="292" spans="3:8" ht="14.25" x14ac:dyDescent="0.2">
      <c r="C292" s="31"/>
      <c r="H292" s="31"/>
    </row>
    <row r="293" spans="3:8" ht="14.25" x14ac:dyDescent="0.2">
      <c r="C293" s="31"/>
      <c r="H293" s="31"/>
    </row>
    <row r="294" spans="3:8" ht="14.25" x14ac:dyDescent="0.2">
      <c r="C294" s="31"/>
      <c r="H294" s="31"/>
    </row>
    <row r="295" spans="3:8" ht="14.25" x14ac:dyDescent="0.2">
      <c r="C295" s="31"/>
      <c r="H295" s="31"/>
    </row>
    <row r="296" spans="3:8" ht="14.25" x14ac:dyDescent="0.2">
      <c r="C296" s="31"/>
      <c r="H296" s="31"/>
    </row>
    <row r="297" spans="3:8" ht="14.25" x14ac:dyDescent="0.2">
      <c r="C297" s="31"/>
      <c r="H297" s="31"/>
    </row>
    <row r="298" spans="3:8" ht="14.25" x14ac:dyDescent="0.2">
      <c r="C298" s="31"/>
      <c r="H298" s="31"/>
    </row>
    <row r="299" spans="3:8" ht="14.25" x14ac:dyDescent="0.2">
      <c r="C299" s="31"/>
      <c r="H299" s="31"/>
    </row>
    <row r="300" spans="3:8" ht="14.25" x14ac:dyDescent="0.2">
      <c r="C300" s="31"/>
      <c r="H300" s="31"/>
    </row>
    <row r="301" spans="3:8" ht="14.25" x14ac:dyDescent="0.2">
      <c r="C301" s="31"/>
      <c r="H301" s="31"/>
    </row>
    <row r="302" spans="3:8" ht="14.25" x14ac:dyDescent="0.2">
      <c r="C302" s="31"/>
      <c r="H302" s="31"/>
    </row>
    <row r="303" spans="3:8" ht="14.25" x14ac:dyDescent="0.2">
      <c r="C303" s="31"/>
      <c r="H303" s="31"/>
    </row>
    <row r="304" spans="3:8" ht="14.25" x14ac:dyDescent="0.2">
      <c r="C304" s="31"/>
      <c r="H304" s="31"/>
    </row>
    <row r="305" spans="3:8" ht="14.25" x14ac:dyDescent="0.2">
      <c r="C305" s="31"/>
      <c r="H305" s="31"/>
    </row>
    <row r="306" spans="3:8" ht="14.25" x14ac:dyDescent="0.2">
      <c r="C306" s="31"/>
      <c r="H306" s="31"/>
    </row>
    <row r="307" spans="3:8" ht="14.25" x14ac:dyDescent="0.2">
      <c r="C307" s="31"/>
      <c r="H307" s="31"/>
    </row>
    <row r="308" spans="3:8" ht="14.25" x14ac:dyDescent="0.2">
      <c r="C308" s="31"/>
      <c r="H308" s="31"/>
    </row>
    <row r="309" spans="3:8" ht="14.25" x14ac:dyDescent="0.2">
      <c r="C309" s="31"/>
      <c r="H309" s="31"/>
    </row>
    <row r="310" spans="3:8" ht="14.25" x14ac:dyDescent="0.2">
      <c r="C310" s="31"/>
      <c r="H310" s="31"/>
    </row>
    <row r="311" spans="3:8" ht="14.25" x14ac:dyDescent="0.2">
      <c r="C311" s="31"/>
      <c r="H311" s="31"/>
    </row>
    <row r="312" spans="3:8" ht="14.25" x14ac:dyDescent="0.2">
      <c r="C312" s="31"/>
      <c r="H312" s="31"/>
    </row>
    <row r="313" spans="3:8" ht="14.25" x14ac:dyDescent="0.2">
      <c r="C313" s="31"/>
      <c r="H313" s="31"/>
    </row>
    <row r="314" spans="3:8" ht="14.25" x14ac:dyDescent="0.2">
      <c r="C314" s="31"/>
      <c r="H314" s="31"/>
    </row>
    <row r="315" spans="3:8" ht="14.25" x14ac:dyDescent="0.2">
      <c r="C315" s="31"/>
      <c r="H315" s="31"/>
    </row>
    <row r="316" spans="3:8" ht="14.25" x14ac:dyDescent="0.2">
      <c r="C316" s="31"/>
      <c r="H316" s="31"/>
    </row>
    <row r="317" spans="3:8" ht="14.25" x14ac:dyDescent="0.2">
      <c r="C317" s="31"/>
      <c r="H317" s="31"/>
    </row>
    <row r="318" spans="3:8" ht="14.25" x14ac:dyDescent="0.2">
      <c r="C318" s="31"/>
      <c r="H318" s="31"/>
    </row>
    <row r="319" spans="3:8" ht="14.25" x14ac:dyDescent="0.2">
      <c r="C319" s="31"/>
      <c r="H319" s="31"/>
    </row>
    <row r="320" spans="3:8" ht="14.25" x14ac:dyDescent="0.2">
      <c r="C320" s="31"/>
      <c r="H320" s="31"/>
    </row>
    <row r="321" spans="3:8" ht="14.25" x14ac:dyDescent="0.2">
      <c r="C321" s="31"/>
      <c r="H321" s="31"/>
    </row>
    <row r="322" spans="3:8" ht="14.25" x14ac:dyDescent="0.2">
      <c r="C322" s="31"/>
      <c r="H322" s="31"/>
    </row>
    <row r="323" spans="3:8" ht="14.25" x14ac:dyDescent="0.2">
      <c r="C323" s="31"/>
      <c r="H323" s="31"/>
    </row>
    <row r="324" spans="3:8" ht="14.25" x14ac:dyDescent="0.2">
      <c r="C324" s="31"/>
      <c r="H324" s="31"/>
    </row>
    <row r="325" spans="3:8" ht="14.25" x14ac:dyDescent="0.2">
      <c r="C325" s="31"/>
      <c r="H325" s="31"/>
    </row>
    <row r="326" spans="3:8" ht="14.25" x14ac:dyDescent="0.2">
      <c r="C326" s="31"/>
      <c r="H326" s="31"/>
    </row>
    <row r="327" spans="3:8" ht="14.25" x14ac:dyDescent="0.2">
      <c r="C327" s="31"/>
      <c r="H327" s="31"/>
    </row>
    <row r="328" spans="3:8" ht="14.25" x14ac:dyDescent="0.2">
      <c r="C328" s="31"/>
      <c r="H328" s="31"/>
    </row>
    <row r="329" spans="3:8" ht="14.25" x14ac:dyDescent="0.2">
      <c r="C329" s="31"/>
      <c r="H329" s="31"/>
    </row>
    <row r="330" spans="3:8" ht="14.25" x14ac:dyDescent="0.2">
      <c r="C330" s="31"/>
      <c r="H330" s="31"/>
    </row>
    <row r="331" spans="3:8" ht="14.25" x14ac:dyDescent="0.2">
      <c r="C331" s="31"/>
      <c r="H331" s="31"/>
    </row>
    <row r="332" spans="3:8" ht="14.25" x14ac:dyDescent="0.2">
      <c r="C332" s="31"/>
      <c r="H332" s="31"/>
    </row>
    <row r="333" spans="3:8" ht="14.25" x14ac:dyDescent="0.2">
      <c r="C333" s="31"/>
      <c r="H333" s="31"/>
    </row>
    <row r="334" spans="3:8" ht="14.25" x14ac:dyDescent="0.2">
      <c r="C334" s="31"/>
      <c r="H334" s="31"/>
    </row>
    <row r="335" spans="3:8" ht="14.25" x14ac:dyDescent="0.2">
      <c r="C335" s="31"/>
      <c r="H335" s="31"/>
    </row>
    <row r="336" spans="3:8" ht="14.25" x14ac:dyDescent="0.2">
      <c r="C336" s="31"/>
      <c r="H336" s="31"/>
    </row>
    <row r="337" spans="3:8" ht="14.25" x14ac:dyDescent="0.2">
      <c r="C337" s="31"/>
      <c r="H337" s="31"/>
    </row>
    <row r="338" spans="3:8" ht="14.25" x14ac:dyDescent="0.2">
      <c r="C338" s="31"/>
      <c r="H338" s="31"/>
    </row>
    <row r="339" spans="3:8" ht="14.25" x14ac:dyDescent="0.2">
      <c r="C339" s="31"/>
      <c r="H339" s="31"/>
    </row>
    <row r="340" spans="3:8" ht="14.25" x14ac:dyDescent="0.2">
      <c r="C340" s="31"/>
      <c r="H340" s="31"/>
    </row>
    <row r="341" spans="3:8" ht="14.25" x14ac:dyDescent="0.2">
      <c r="C341" s="31"/>
      <c r="H341" s="31"/>
    </row>
    <row r="342" spans="3:8" ht="14.25" x14ac:dyDescent="0.2">
      <c r="C342" s="31"/>
      <c r="H342" s="31"/>
    </row>
    <row r="343" spans="3:8" ht="14.25" x14ac:dyDescent="0.2">
      <c r="C343" s="31"/>
      <c r="H343" s="31"/>
    </row>
    <row r="344" spans="3:8" ht="14.25" x14ac:dyDescent="0.2">
      <c r="C344" s="31"/>
      <c r="H344" s="31"/>
    </row>
    <row r="345" spans="3:8" ht="14.25" x14ac:dyDescent="0.2">
      <c r="C345" s="31"/>
      <c r="H345" s="31"/>
    </row>
    <row r="346" spans="3:8" ht="14.25" x14ac:dyDescent="0.2">
      <c r="C346" s="31"/>
      <c r="H346" s="31"/>
    </row>
    <row r="347" spans="3:8" ht="14.25" x14ac:dyDescent="0.2">
      <c r="C347" s="31"/>
      <c r="H347" s="31"/>
    </row>
    <row r="348" spans="3:8" ht="14.25" x14ac:dyDescent="0.2">
      <c r="C348" s="31"/>
      <c r="H348" s="31"/>
    </row>
    <row r="349" spans="3:8" ht="14.25" x14ac:dyDescent="0.2">
      <c r="C349" s="31"/>
      <c r="H349" s="31"/>
    </row>
    <row r="350" spans="3:8" ht="14.25" x14ac:dyDescent="0.2">
      <c r="C350" s="31"/>
      <c r="H350" s="31"/>
    </row>
    <row r="351" spans="3:8" ht="14.25" x14ac:dyDescent="0.2">
      <c r="C351" s="31"/>
      <c r="H351" s="31"/>
    </row>
    <row r="352" spans="3:8" ht="14.25" x14ac:dyDescent="0.2">
      <c r="C352" s="31"/>
      <c r="H352" s="31"/>
    </row>
    <row r="353" spans="3:8" ht="14.25" x14ac:dyDescent="0.2">
      <c r="C353" s="31"/>
      <c r="H353" s="31"/>
    </row>
    <row r="354" spans="3:8" ht="14.25" x14ac:dyDescent="0.2">
      <c r="C354" s="31"/>
      <c r="H354" s="31"/>
    </row>
    <row r="355" spans="3:8" ht="14.25" x14ac:dyDescent="0.2">
      <c r="C355" s="31"/>
      <c r="H355" s="31"/>
    </row>
    <row r="356" spans="3:8" ht="14.25" x14ac:dyDescent="0.2">
      <c r="C356" s="31"/>
      <c r="H356" s="31"/>
    </row>
    <row r="357" spans="3:8" ht="14.25" x14ac:dyDescent="0.2">
      <c r="C357" s="31"/>
      <c r="H357" s="31"/>
    </row>
    <row r="358" spans="3:8" ht="14.25" x14ac:dyDescent="0.2">
      <c r="C358" s="31"/>
      <c r="H358" s="31"/>
    </row>
    <row r="359" spans="3:8" ht="14.25" x14ac:dyDescent="0.2">
      <c r="C359" s="31"/>
      <c r="H359" s="31"/>
    </row>
    <row r="360" spans="3:8" ht="14.25" x14ac:dyDescent="0.2">
      <c r="C360" s="31"/>
      <c r="H360" s="31"/>
    </row>
    <row r="361" spans="3:8" ht="14.25" x14ac:dyDescent="0.2">
      <c r="C361" s="31"/>
      <c r="H361" s="31"/>
    </row>
    <row r="362" spans="3:8" ht="14.25" x14ac:dyDescent="0.2">
      <c r="C362" s="31"/>
      <c r="H362" s="31"/>
    </row>
    <row r="363" spans="3:8" ht="14.25" x14ac:dyDescent="0.2">
      <c r="C363" s="31"/>
      <c r="H363" s="31"/>
    </row>
    <row r="364" spans="3:8" ht="14.25" x14ac:dyDescent="0.2">
      <c r="C364" s="31"/>
      <c r="H364" s="31"/>
    </row>
    <row r="365" spans="3:8" ht="14.25" x14ac:dyDescent="0.2">
      <c r="C365" s="31"/>
      <c r="H365" s="31"/>
    </row>
    <row r="366" spans="3:8" ht="14.25" x14ac:dyDescent="0.2">
      <c r="C366" s="31"/>
      <c r="H366" s="31"/>
    </row>
    <row r="367" spans="3:8" ht="14.25" x14ac:dyDescent="0.2">
      <c r="C367" s="31"/>
      <c r="H367" s="31"/>
    </row>
    <row r="368" spans="3:8" ht="14.25" x14ac:dyDescent="0.2">
      <c r="C368" s="31"/>
      <c r="H368" s="31"/>
    </row>
    <row r="369" spans="3:8" ht="14.25" x14ac:dyDescent="0.2">
      <c r="C369" s="31"/>
      <c r="H369" s="31"/>
    </row>
    <row r="370" spans="3:8" ht="14.25" x14ac:dyDescent="0.2">
      <c r="C370" s="31"/>
      <c r="H370" s="31"/>
    </row>
    <row r="371" spans="3:8" ht="14.25" x14ac:dyDescent="0.2">
      <c r="C371" s="31"/>
      <c r="H371" s="31"/>
    </row>
    <row r="372" spans="3:8" ht="14.25" x14ac:dyDescent="0.2">
      <c r="C372" s="31"/>
      <c r="H372" s="31"/>
    </row>
    <row r="373" spans="3:8" ht="14.25" x14ac:dyDescent="0.2">
      <c r="C373" s="31"/>
      <c r="H373" s="31"/>
    </row>
    <row r="374" spans="3:8" ht="14.25" x14ac:dyDescent="0.2">
      <c r="C374" s="31"/>
      <c r="H374" s="31"/>
    </row>
    <row r="375" spans="3:8" ht="14.25" x14ac:dyDescent="0.2">
      <c r="C375" s="31"/>
      <c r="H375" s="31"/>
    </row>
    <row r="376" spans="3:8" ht="14.25" x14ac:dyDescent="0.2">
      <c r="C376" s="31"/>
      <c r="H376" s="31"/>
    </row>
    <row r="377" spans="3:8" ht="14.25" x14ac:dyDescent="0.2">
      <c r="C377" s="31"/>
      <c r="H377" s="31"/>
    </row>
    <row r="378" spans="3:8" ht="14.25" x14ac:dyDescent="0.2">
      <c r="C378" s="31"/>
      <c r="H378" s="31"/>
    </row>
    <row r="379" spans="3:8" ht="14.25" x14ac:dyDescent="0.2">
      <c r="C379" s="31"/>
      <c r="H379" s="31"/>
    </row>
    <row r="380" spans="3:8" ht="14.25" x14ac:dyDescent="0.2">
      <c r="C380" s="31"/>
      <c r="H380" s="31"/>
    </row>
    <row r="381" spans="3:8" ht="14.25" x14ac:dyDescent="0.2">
      <c r="C381" s="31"/>
      <c r="H381" s="31"/>
    </row>
    <row r="382" spans="3:8" ht="14.25" x14ac:dyDescent="0.2">
      <c r="C382" s="31"/>
      <c r="H382" s="31"/>
    </row>
    <row r="383" spans="3:8" ht="14.25" x14ac:dyDescent="0.2">
      <c r="C383" s="31"/>
      <c r="H383" s="31"/>
    </row>
    <row r="384" spans="3:8" ht="14.25" x14ac:dyDescent="0.2">
      <c r="C384" s="31"/>
      <c r="H384" s="31"/>
    </row>
    <row r="385" spans="3:8" ht="14.25" x14ac:dyDescent="0.2">
      <c r="C385" s="31"/>
      <c r="H385" s="31"/>
    </row>
    <row r="386" spans="3:8" ht="14.25" x14ac:dyDescent="0.2">
      <c r="C386" s="31"/>
      <c r="H386" s="31"/>
    </row>
    <row r="387" spans="3:8" ht="14.25" x14ac:dyDescent="0.2">
      <c r="C387" s="31"/>
      <c r="H387" s="31"/>
    </row>
    <row r="388" spans="3:8" ht="14.25" x14ac:dyDescent="0.2">
      <c r="C388" s="31"/>
      <c r="H388" s="31"/>
    </row>
    <row r="389" spans="3:8" ht="14.25" x14ac:dyDescent="0.2">
      <c r="C389" s="31"/>
      <c r="H389" s="31"/>
    </row>
    <row r="390" spans="3:8" ht="14.25" x14ac:dyDescent="0.2">
      <c r="C390" s="31"/>
      <c r="H390" s="31"/>
    </row>
    <row r="391" spans="3:8" ht="14.25" x14ac:dyDescent="0.2">
      <c r="C391" s="31"/>
      <c r="H391" s="31"/>
    </row>
    <row r="392" spans="3:8" ht="14.25" x14ac:dyDescent="0.2">
      <c r="C392" s="31"/>
      <c r="H392" s="31"/>
    </row>
    <row r="393" spans="3:8" ht="14.25" x14ac:dyDescent="0.2">
      <c r="C393" s="31"/>
      <c r="H393" s="31"/>
    </row>
    <row r="394" spans="3:8" ht="14.25" x14ac:dyDescent="0.2">
      <c r="C394" s="31"/>
      <c r="H394" s="31"/>
    </row>
    <row r="395" spans="3:8" ht="14.25" x14ac:dyDescent="0.2">
      <c r="C395" s="31"/>
      <c r="H395" s="31"/>
    </row>
    <row r="396" spans="3:8" ht="14.25" x14ac:dyDescent="0.2">
      <c r="C396" s="31"/>
      <c r="H396" s="31"/>
    </row>
    <row r="397" spans="3:8" ht="14.25" x14ac:dyDescent="0.2">
      <c r="C397" s="31"/>
      <c r="H397" s="31"/>
    </row>
    <row r="398" spans="3:8" ht="14.25" x14ac:dyDescent="0.2">
      <c r="C398" s="31"/>
      <c r="H398" s="31"/>
    </row>
    <row r="399" spans="3:8" ht="14.25" x14ac:dyDescent="0.2">
      <c r="C399" s="31"/>
      <c r="H399" s="31"/>
    </row>
    <row r="400" spans="3:8" ht="14.25" x14ac:dyDescent="0.2">
      <c r="C400" s="31"/>
      <c r="H400" s="31"/>
    </row>
    <row r="401" spans="3:8" ht="14.25" x14ac:dyDescent="0.2">
      <c r="C401" s="31"/>
      <c r="H401" s="31"/>
    </row>
    <row r="402" spans="3:8" ht="14.25" x14ac:dyDescent="0.2">
      <c r="C402" s="31"/>
      <c r="H402" s="31"/>
    </row>
    <row r="403" spans="3:8" ht="14.25" x14ac:dyDescent="0.2">
      <c r="C403" s="31"/>
      <c r="H403" s="31"/>
    </row>
    <row r="404" spans="3:8" ht="14.25" x14ac:dyDescent="0.2">
      <c r="C404" s="31"/>
      <c r="H404" s="31"/>
    </row>
    <row r="405" spans="3:8" ht="14.25" x14ac:dyDescent="0.2">
      <c r="C405" s="31"/>
      <c r="H405" s="31"/>
    </row>
    <row r="406" spans="3:8" ht="14.25" x14ac:dyDescent="0.2">
      <c r="C406" s="31"/>
      <c r="H406" s="31"/>
    </row>
    <row r="407" spans="3:8" ht="14.25" x14ac:dyDescent="0.2">
      <c r="C407" s="31"/>
      <c r="H407" s="31"/>
    </row>
    <row r="408" spans="3:8" ht="14.25" x14ac:dyDescent="0.2">
      <c r="C408" s="31"/>
      <c r="H408" s="31"/>
    </row>
    <row r="409" spans="3:8" ht="14.25" x14ac:dyDescent="0.2">
      <c r="C409" s="31"/>
      <c r="H409" s="31"/>
    </row>
    <row r="410" spans="3:8" ht="14.25" x14ac:dyDescent="0.2">
      <c r="C410" s="31"/>
      <c r="H410" s="31"/>
    </row>
    <row r="411" spans="3:8" ht="14.25" x14ac:dyDescent="0.2">
      <c r="C411" s="31"/>
      <c r="H411" s="31"/>
    </row>
    <row r="412" spans="3:8" ht="14.25" x14ac:dyDescent="0.2">
      <c r="C412" s="31"/>
      <c r="H412" s="31"/>
    </row>
    <row r="413" spans="3:8" ht="14.25" x14ac:dyDescent="0.2">
      <c r="C413" s="31"/>
      <c r="H413" s="31"/>
    </row>
    <row r="414" spans="3:8" ht="14.25" x14ac:dyDescent="0.2">
      <c r="C414" s="31"/>
      <c r="H414" s="31"/>
    </row>
    <row r="415" spans="3:8" ht="14.25" x14ac:dyDescent="0.2">
      <c r="C415" s="31"/>
      <c r="H415" s="31"/>
    </row>
    <row r="416" spans="3:8" ht="14.25" x14ac:dyDescent="0.2">
      <c r="C416" s="31"/>
      <c r="H416" s="31"/>
    </row>
    <row r="417" spans="3:8" ht="14.25" x14ac:dyDescent="0.2">
      <c r="C417" s="31"/>
      <c r="H417" s="31"/>
    </row>
    <row r="418" spans="3:8" ht="14.25" x14ac:dyDescent="0.2">
      <c r="C418" s="31"/>
      <c r="H418" s="31"/>
    </row>
    <row r="419" spans="3:8" ht="14.25" x14ac:dyDescent="0.2">
      <c r="C419" s="31"/>
      <c r="H419" s="31"/>
    </row>
    <row r="420" spans="3:8" ht="14.25" x14ac:dyDescent="0.2">
      <c r="C420" s="31"/>
      <c r="H420" s="31"/>
    </row>
    <row r="421" spans="3:8" ht="14.25" x14ac:dyDescent="0.2">
      <c r="C421" s="31"/>
      <c r="H421" s="31"/>
    </row>
    <row r="422" spans="3:8" ht="14.25" x14ac:dyDescent="0.2">
      <c r="C422" s="31"/>
      <c r="H422" s="31"/>
    </row>
    <row r="423" spans="3:8" ht="14.25" x14ac:dyDescent="0.2">
      <c r="C423" s="31"/>
      <c r="H423" s="31"/>
    </row>
    <row r="424" spans="3:8" ht="14.25" x14ac:dyDescent="0.2">
      <c r="C424" s="31"/>
      <c r="H424" s="31"/>
    </row>
    <row r="425" spans="3:8" ht="14.25" x14ac:dyDescent="0.2">
      <c r="C425" s="31"/>
      <c r="H425" s="31"/>
    </row>
    <row r="426" spans="3:8" ht="14.25" x14ac:dyDescent="0.2">
      <c r="C426" s="31"/>
      <c r="H426" s="31"/>
    </row>
    <row r="427" spans="3:8" ht="14.25" x14ac:dyDescent="0.2">
      <c r="C427" s="31"/>
      <c r="H427" s="31"/>
    </row>
    <row r="428" spans="3:8" ht="14.25" x14ac:dyDescent="0.2">
      <c r="C428" s="31"/>
      <c r="H428" s="31"/>
    </row>
    <row r="429" spans="3:8" ht="14.25" x14ac:dyDescent="0.2">
      <c r="C429" s="31"/>
      <c r="H429" s="31"/>
    </row>
    <row r="430" spans="3:8" ht="14.25" x14ac:dyDescent="0.2">
      <c r="C430" s="31"/>
      <c r="H430" s="31"/>
    </row>
    <row r="431" spans="3:8" ht="14.25" x14ac:dyDescent="0.2">
      <c r="C431" s="31"/>
      <c r="H431" s="31"/>
    </row>
    <row r="432" spans="3:8" ht="14.25" x14ac:dyDescent="0.2">
      <c r="C432" s="31"/>
      <c r="H432" s="31"/>
    </row>
    <row r="433" spans="3:8" ht="14.25" x14ac:dyDescent="0.2">
      <c r="C433" s="31"/>
      <c r="H433" s="31"/>
    </row>
    <row r="434" spans="3:8" ht="14.25" x14ac:dyDescent="0.2">
      <c r="C434" s="31"/>
      <c r="H434" s="31"/>
    </row>
    <row r="435" spans="3:8" ht="14.25" x14ac:dyDescent="0.2">
      <c r="C435" s="31"/>
      <c r="H435" s="31"/>
    </row>
    <row r="436" spans="3:8" ht="14.25" x14ac:dyDescent="0.2">
      <c r="C436" s="31"/>
      <c r="H436" s="31"/>
    </row>
    <row r="437" spans="3:8" ht="14.25" x14ac:dyDescent="0.2">
      <c r="C437" s="31"/>
      <c r="H437" s="31"/>
    </row>
    <row r="438" spans="3:8" ht="14.25" x14ac:dyDescent="0.2">
      <c r="C438" s="31"/>
      <c r="H438" s="31"/>
    </row>
    <row r="439" spans="3:8" ht="14.25" x14ac:dyDescent="0.2">
      <c r="C439" s="31"/>
      <c r="H439" s="31"/>
    </row>
    <row r="440" spans="3:8" ht="14.25" x14ac:dyDescent="0.2">
      <c r="C440" s="31"/>
      <c r="H440" s="31"/>
    </row>
    <row r="441" spans="3:8" ht="14.25" x14ac:dyDescent="0.2">
      <c r="C441" s="31"/>
      <c r="H441" s="31"/>
    </row>
    <row r="442" spans="3:8" ht="14.25" x14ac:dyDescent="0.2">
      <c r="C442" s="31"/>
      <c r="H442" s="31"/>
    </row>
    <row r="443" spans="3:8" ht="14.25" x14ac:dyDescent="0.2">
      <c r="C443" s="31"/>
      <c r="H443" s="31"/>
    </row>
    <row r="444" spans="3:8" ht="14.25" x14ac:dyDescent="0.2">
      <c r="C444" s="31"/>
      <c r="H444" s="31"/>
    </row>
    <row r="445" spans="3:8" ht="14.25" x14ac:dyDescent="0.2">
      <c r="C445" s="31"/>
      <c r="H445" s="31"/>
    </row>
    <row r="446" spans="3:8" ht="14.25" x14ac:dyDescent="0.2">
      <c r="C446" s="31"/>
      <c r="H446" s="31"/>
    </row>
    <row r="447" spans="3:8" ht="14.25" x14ac:dyDescent="0.2">
      <c r="C447" s="31"/>
      <c r="H447" s="31"/>
    </row>
    <row r="448" spans="3:8" ht="14.25" x14ac:dyDescent="0.2">
      <c r="C448" s="31"/>
      <c r="H448" s="31"/>
    </row>
    <row r="449" spans="3:8" ht="14.25" x14ac:dyDescent="0.2">
      <c r="C449" s="31"/>
      <c r="H449" s="31"/>
    </row>
    <row r="450" spans="3:8" ht="14.25" x14ac:dyDescent="0.2">
      <c r="C450" s="31"/>
      <c r="H450" s="31"/>
    </row>
    <row r="451" spans="3:8" ht="14.25" x14ac:dyDescent="0.2">
      <c r="C451" s="31"/>
      <c r="H451" s="31"/>
    </row>
    <row r="452" spans="3:8" ht="14.25" x14ac:dyDescent="0.2">
      <c r="C452" s="31"/>
      <c r="H452" s="31"/>
    </row>
    <row r="453" spans="3:8" ht="14.25" x14ac:dyDescent="0.2">
      <c r="C453" s="31"/>
      <c r="H453" s="31"/>
    </row>
    <row r="454" spans="3:8" ht="14.25" x14ac:dyDescent="0.2">
      <c r="C454" s="31"/>
      <c r="H454" s="31"/>
    </row>
    <row r="455" spans="3:8" ht="14.25" x14ac:dyDescent="0.2">
      <c r="C455" s="31"/>
      <c r="H455" s="31"/>
    </row>
    <row r="456" spans="3:8" ht="14.25" x14ac:dyDescent="0.2">
      <c r="C456" s="31"/>
      <c r="H456" s="31"/>
    </row>
    <row r="457" spans="3:8" ht="14.25" x14ac:dyDescent="0.2">
      <c r="C457" s="31"/>
      <c r="H457" s="31"/>
    </row>
    <row r="458" spans="3:8" ht="14.25" x14ac:dyDescent="0.2">
      <c r="C458" s="31"/>
      <c r="H458" s="31"/>
    </row>
    <row r="459" spans="3:8" ht="14.25" x14ac:dyDescent="0.2">
      <c r="C459" s="31"/>
      <c r="H459" s="31"/>
    </row>
    <row r="460" spans="3:8" ht="14.25" x14ac:dyDescent="0.2">
      <c r="C460" s="31"/>
      <c r="H460" s="31"/>
    </row>
    <row r="461" spans="3:8" ht="14.25" x14ac:dyDescent="0.2">
      <c r="C461" s="31"/>
      <c r="H461" s="31"/>
    </row>
    <row r="462" spans="3:8" ht="14.25" x14ac:dyDescent="0.2">
      <c r="C462" s="31"/>
      <c r="H462" s="31"/>
    </row>
    <row r="463" spans="3:8" ht="14.25" x14ac:dyDescent="0.2">
      <c r="C463" s="31"/>
      <c r="H463" s="31"/>
    </row>
    <row r="464" spans="3:8" ht="14.25" x14ac:dyDescent="0.2">
      <c r="C464" s="31"/>
      <c r="H464" s="31"/>
    </row>
    <row r="465" spans="3:8" ht="14.25" x14ac:dyDescent="0.2">
      <c r="C465" s="31"/>
      <c r="H465" s="31"/>
    </row>
    <row r="466" spans="3:8" ht="14.25" x14ac:dyDescent="0.2">
      <c r="C466" s="31"/>
      <c r="H466" s="31"/>
    </row>
    <row r="467" spans="3:8" ht="14.25" x14ac:dyDescent="0.2">
      <c r="C467" s="31"/>
      <c r="H467" s="31"/>
    </row>
    <row r="468" spans="3:8" ht="14.25" x14ac:dyDescent="0.2">
      <c r="C468" s="31"/>
      <c r="H468" s="31"/>
    </row>
    <row r="469" spans="3:8" ht="14.25" x14ac:dyDescent="0.2">
      <c r="C469" s="31"/>
      <c r="H469" s="31"/>
    </row>
    <row r="470" spans="3:8" ht="14.25" x14ac:dyDescent="0.2">
      <c r="C470" s="31"/>
      <c r="H470" s="31"/>
    </row>
    <row r="471" spans="3:8" ht="14.25" x14ac:dyDescent="0.2">
      <c r="C471" s="31"/>
      <c r="H471" s="31"/>
    </row>
    <row r="472" spans="3:8" ht="14.25" x14ac:dyDescent="0.2">
      <c r="C472" s="31"/>
      <c r="H472" s="31"/>
    </row>
    <row r="473" spans="3:8" ht="14.25" x14ac:dyDescent="0.2">
      <c r="C473" s="31"/>
      <c r="H473" s="31"/>
    </row>
    <row r="474" spans="3:8" ht="14.25" x14ac:dyDescent="0.2">
      <c r="C474" s="31"/>
      <c r="H474" s="31"/>
    </row>
    <row r="475" spans="3:8" ht="14.25" x14ac:dyDescent="0.2">
      <c r="C475" s="31"/>
      <c r="H475" s="31"/>
    </row>
    <row r="476" spans="3:8" ht="14.25" x14ac:dyDescent="0.2">
      <c r="C476" s="31"/>
      <c r="H476" s="31"/>
    </row>
    <row r="477" spans="3:8" ht="14.25" x14ac:dyDescent="0.2">
      <c r="C477" s="31"/>
      <c r="H477" s="31"/>
    </row>
    <row r="478" spans="3:8" ht="14.25" x14ac:dyDescent="0.2">
      <c r="C478" s="31"/>
      <c r="H478" s="31"/>
    </row>
    <row r="479" spans="3:8" ht="14.25" x14ac:dyDescent="0.2">
      <c r="C479" s="31"/>
      <c r="H479" s="31"/>
    </row>
    <row r="480" spans="3:8" ht="14.25" x14ac:dyDescent="0.2">
      <c r="C480" s="31"/>
      <c r="H480" s="31"/>
    </row>
    <row r="481" spans="3:8" ht="14.25" x14ac:dyDescent="0.2">
      <c r="C481" s="31"/>
      <c r="H481" s="31"/>
    </row>
    <row r="482" spans="3:8" ht="14.25" x14ac:dyDescent="0.2">
      <c r="C482" s="31"/>
      <c r="H482" s="31"/>
    </row>
    <row r="483" spans="3:8" ht="14.25" x14ac:dyDescent="0.2">
      <c r="C483" s="31"/>
      <c r="H483" s="31"/>
    </row>
    <row r="484" spans="3:8" ht="14.25" x14ac:dyDescent="0.2">
      <c r="C484" s="31"/>
      <c r="H484" s="31"/>
    </row>
    <row r="485" spans="3:8" ht="14.25" x14ac:dyDescent="0.2">
      <c r="C485" s="31"/>
      <c r="H485" s="31"/>
    </row>
    <row r="486" spans="3:8" ht="14.25" x14ac:dyDescent="0.2">
      <c r="C486" s="31"/>
      <c r="H486" s="31"/>
    </row>
    <row r="487" spans="3:8" ht="14.25" x14ac:dyDescent="0.2">
      <c r="C487" s="31"/>
      <c r="H487" s="31"/>
    </row>
    <row r="488" spans="3:8" ht="14.25" x14ac:dyDescent="0.2">
      <c r="C488" s="31"/>
      <c r="H488" s="31"/>
    </row>
    <row r="489" spans="3:8" ht="14.25" x14ac:dyDescent="0.2">
      <c r="C489" s="31"/>
      <c r="H489" s="31"/>
    </row>
    <row r="490" spans="3:8" ht="14.25" x14ac:dyDescent="0.2">
      <c r="C490" s="31"/>
      <c r="H490" s="31"/>
    </row>
    <row r="491" spans="3:8" ht="14.25" x14ac:dyDescent="0.2">
      <c r="C491" s="31"/>
      <c r="H491" s="31"/>
    </row>
    <row r="492" spans="3:8" ht="14.25" x14ac:dyDescent="0.2">
      <c r="C492" s="31"/>
      <c r="H492" s="31"/>
    </row>
    <row r="493" spans="3:8" ht="14.25" x14ac:dyDescent="0.2">
      <c r="C493" s="31"/>
      <c r="H493" s="31"/>
    </row>
    <row r="494" spans="3:8" ht="14.25" x14ac:dyDescent="0.2">
      <c r="C494" s="31"/>
      <c r="H494" s="31"/>
    </row>
    <row r="495" spans="3:8" ht="14.25" x14ac:dyDescent="0.2">
      <c r="C495" s="31"/>
      <c r="H495" s="31"/>
    </row>
    <row r="496" spans="3:8" ht="14.25" x14ac:dyDescent="0.2">
      <c r="C496" s="31"/>
      <c r="H496" s="31"/>
    </row>
    <row r="497" spans="3:8" ht="14.25" x14ac:dyDescent="0.2">
      <c r="C497" s="31"/>
      <c r="H497" s="31"/>
    </row>
    <row r="498" spans="3:8" ht="14.25" x14ac:dyDescent="0.2">
      <c r="C498" s="31"/>
      <c r="H498" s="31"/>
    </row>
    <row r="499" spans="3:8" ht="14.25" x14ac:dyDescent="0.2">
      <c r="C499" s="31"/>
      <c r="H499" s="31"/>
    </row>
    <row r="500" spans="3:8" ht="14.25" x14ac:dyDescent="0.2">
      <c r="C500" s="31"/>
      <c r="H500" s="31"/>
    </row>
    <row r="501" spans="3:8" ht="14.25" x14ac:dyDescent="0.2">
      <c r="C501" s="31"/>
      <c r="H501" s="31"/>
    </row>
    <row r="502" spans="3:8" ht="14.25" x14ac:dyDescent="0.2">
      <c r="C502" s="31"/>
      <c r="H502" s="31"/>
    </row>
    <row r="503" spans="3:8" ht="14.25" x14ac:dyDescent="0.2">
      <c r="C503" s="31"/>
      <c r="H503" s="31"/>
    </row>
    <row r="504" spans="3:8" ht="14.25" x14ac:dyDescent="0.2">
      <c r="C504" s="31"/>
      <c r="H504" s="31"/>
    </row>
    <row r="505" spans="3:8" ht="14.25" x14ac:dyDescent="0.2">
      <c r="C505" s="31"/>
      <c r="H505" s="31"/>
    </row>
    <row r="506" spans="3:8" ht="14.25" x14ac:dyDescent="0.2">
      <c r="C506" s="31"/>
      <c r="H506" s="31"/>
    </row>
    <row r="507" spans="3:8" ht="14.25" x14ac:dyDescent="0.2">
      <c r="C507" s="31"/>
      <c r="H507" s="31"/>
    </row>
    <row r="508" spans="3:8" ht="14.25" x14ac:dyDescent="0.2">
      <c r="C508" s="31"/>
      <c r="H508" s="31"/>
    </row>
    <row r="509" spans="3:8" ht="14.25" x14ac:dyDescent="0.2">
      <c r="C509" s="31"/>
      <c r="H509" s="31"/>
    </row>
    <row r="510" spans="3:8" ht="14.25" x14ac:dyDescent="0.2">
      <c r="C510" s="31"/>
      <c r="H510" s="31"/>
    </row>
    <row r="511" spans="3:8" ht="14.25" x14ac:dyDescent="0.2">
      <c r="C511" s="31"/>
      <c r="H511" s="31"/>
    </row>
    <row r="512" spans="3:8" ht="14.25" x14ac:dyDescent="0.2">
      <c r="C512" s="31"/>
      <c r="H512" s="31"/>
    </row>
    <row r="513" spans="3:8" ht="14.25" x14ac:dyDescent="0.2">
      <c r="C513" s="31"/>
      <c r="H513" s="31"/>
    </row>
    <row r="514" spans="3:8" ht="14.25" x14ac:dyDescent="0.2">
      <c r="C514" s="31"/>
      <c r="H514" s="31"/>
    </row>
    <row r="515" spans="3:8" ht="14.25" x14ac:dyDescent="0.2">
      <c r="C515" s="31"/>
      <c r="H515" s="31"/>
    </row>
    <row r="516" spans="3:8" ht="14.25" x14ac:dyDescent="0.2">
      <c r="C516" s="31"/>
      <c r="H516" s="31"/>
    </row>
    <row r="517" spans="3:8" ht="14.25" x14ac:dyDescent="0.2">
      <c r="C517" s="31"/>
      <c r="H517" s="31"/>
    </row>
    <row r="518" spans="3:8" ht="14.25" x14ac:dyDescent="0.2">
      <c r="C518" s="31"/>
      <c r="H518" s="31"/>
    </row>
    <row r="519" spans="3:8" ht="14.25" x14ac:dyDescent="0.2">
      <c r="C519" s="31"/>
      <c r="H519" s="31"/>
    </row>
    <row r="520" spans="3:8" ht="14.25" x14ac:dyDescent="0.2">
      <c r="C520" s="31"/>
      <c r="H520" s="31"/>
    </row>
    <row r="521" spans="3:8" ht="14.25" x14ac:dyDescent="0.2">
      <c r="C521" s="31"/>
      <c r="H521" s="31"/>
    </row>
    <row r="522" spans="3:8" ht="14.25" x14ac:dyDescent="0.2">
      <c r="C522" s="31"/>
      <c r="H522" s="31"/>
    </row>
    <row r="523" spans="3:8" ht="14.25" x14ac:dyDescent="0.2">
      <c r="C523" s="31"/>
      <c r="H523" s="31"/>
    </row>
    <row r="524" spans="3:8" ht="14.25" x14ac:dyDescent="0.2">
      <c r="C524" s="31"/>
      <c r="H524" s="31"/>
    </row>
    <row r="525" spans="3:8" ht="14.25" x14ac:dyDescent="0.2">
      <c r="C525" s="31"/>
      <c r="H525" s="31"/>
    </row>
    <row r="526" spans="3:8" ht="14.25" x14ac:dyDescent="0.2">
      <c r="C526" s="31"/>
      <c r="H526" s="31"/>
    </row>
    <row r="527" spans="3:8" ht="14.25" x14ac:dyDescent="0.2">
      <c r="C527" s="31"/>
      <c r="H527" s="31"/>
    </row>
    <row r="528" spans="3:8" ht="14.25" x14ac:dyDescent="0.2">
      <c r="C528" s="31"/>
      <c r="H528" s="31"/>
    </row>
    <row r="529" spans="3:8" ht="14.25" x14ac:dyDescent="0.2">
      <c r="C529" s="31"/>
      <c r="H529" s="31"/>
    </row>
    <row r="530" spans="3:8" ht="14.25" x14ac:dyDescent="0.2">
      <c r="C530" s="31"/>
      <c r="H530" s="31"/>
    </row>
    <row r="531" spans="3:8" ht="14.25" x14ac:dyDescent="0.2">
      <c r="C531" s="31"/>
      <c r="H531" s="31"/>
    </row>
    <row r="532" spans="3:8" ht="14.25" x14ac:dyDescent="0.2">
      <c r="C532" s="31"/>
      <c r="H532" s="31"/>
    </row>
    <row r="533" spans="3:8" ht="14.25" x14ac:dyDescent="0.2">
      <c r="C533" s="31"/>
      <c r="H533" s="31"/>
    </row>
    <row r="534" spans="3:8" ht="14.25" x14ac:dyDescent="0.2">
      <c r="C534" s="31"/>
      <c r="H534" s="31"/>
    </row>
    <row r="535" spans="3:8" ht="14.25" x14ac:dyDescent="0.2">
      <c r="C535" s="31"/>
      <c r="H535" s="31"/>
    </row>
    <row r="536" spans="3:8" ht="14.25" x14ac:dyDescent="0.2">
      <c r="C536" s="31"/>
      <c r="H536" s="31"/>
    </row>
    <row r="537" spans="3:8" ht="14.25" x14ac:dyDescent="0.2">
      <c r="C537" s="31"/>
      <c r="H537" s="31"/>
    </row>
    <row r="538" spans="3:8" ht="14.25" x14ac:dyDescent="0.2">
      <c r="C538" s="31"/>
      <c r="H538" s="31"/>
    </row>
    <row r="539" spans="3:8" ht="14.25" x14ac:dyDescent="0.2">
      <c r="C539" s="31"/>
      <c r="H539" s="31"/>
    </row>
    <row r="540" spans="3:8" ht="14.25" x14ac:dyDescent="0.2">
      <c r="C540" s="31"/>
      <c r="H540" s="31"/>
    </row>
    <row r="541" spans="3:8" ht="14.25" x14ac:dyDescent="0.2">
      <c r="C541" s="31"/>
      <c r="H541" s="31"/>
    </row>
    <row r="542" spans="3:8" ht="14.25" x14ac:dyDescent="0.2">
      <c r="C542" s="31"/>
      <c r="H542" s="31"/>
    </row>
    <row r="543" spans="3:8" ht="14.25" x14ac:dyDescent="0.2">
      <c r="C543" s="31"/>
      <c r="H543" s="31"/>
    </row>
    <row r="544" spans="3:8" ht="14.25" x14ac:dyDescent="0.2">
      <c r="C544" s="31"/>
      <c r="H544" s="31"/>
    </row>
    <row r="545" spans="3:8" ht="14.25" x14ac:dyDescent="0.2">
      <c r="C545" s="31"/>
      <c r="H545" s="31"/>
    </row>
    <row r="546" spans="3:8" ht="14.25" x14ac:dyDescent="0.2">
      <c r="C546" s="31"/>
      <c r="H546" s="31"/>
    </row>
    <row r="547" spans="3:8" ht="14.25" x14ac:dyDescent="0.2">
      <c r="C547" s="31"/>
      <c r="H547" s="31"/>
    </row>
    <row r="548" spans="3:8" ht="14.25" x14ac:dyDescent="0.2">
      <c r="C548" s="31"/>
      <c r="H548" s="31"/>
    </row>
    <row r="549" spans="3:8" ht="14.25" x14ac:dyDescent="0.2">
      <c r="C549" s="31"/>
      <c r="H549" s="31"/>
    </row>
    <row r="550" spans="3:8" ht="14.25" x14ac:dyDescent="0.2">
      <c r="C550" s="31"/>
      <c r="H550" s="31"/>
    </row>
    <row r="551" spans="3:8" ht="14.25" x14ac:dyDescent="0.2">
      <c r="C551" s="31"/>
      <c r="H551" s="31"/>
    </row>
    <row r="552" spans="3:8" ht="14.25" x14ac:dyDescent="0.2">
      <c r="C552" s="31"/>
      <c r="H552" s="31"/>
    </row>
    <row r="553" spans="3:8" ht="14.25" x14ac:dyDescent="0.2">
      <c r="C553" s="31"/>
      <c r="H553" s="31"/>
    </row>
    <row r="554" spans="3:8" ht="14.25" x14ac:dyDescent="0.2">
      <c r="C554" s="31"/>
      <c r="H554" s="31"/>
    </row>
    <row r="555" spans="3:8" ht="14.25" x14ac:dyDescent="0.2">
      <c r="C555" s="31"/>
      <c r="H555" s="31"/>
    </row>
    <row r="556" spans="3:8" ht="14.25" x14ac:dyDescent="0.2">
      <c r="C556" s="31"/>
      <c r="H556" s="31"/>
    </row>
    <row r="557" spans="3:8" ht="14.25" x14ac:dyDescent="0.2">
      <c r="C557" s="31"/>
      <c r="H557" s="31"/>
    </row>
    <row r="558" spans="3:8" ht="14.25" x14ac:dyDescent="0.2">
      <c r="C558" s="31"/>
      <c r="H558" s="31"/>
    </row>
    <row r="559" spans="3:8" ht="14.25" x14ac:dyDescent="0.2">
      <c r="C559" s="31"/>
      <c r="H559" s="31"/>
    </row>
    <row r="560" spans="3:8" ht="14.25" x14ac:dyDescent="0.2">
      <c r="C560" s="31"/>
      <c r="H560" s="31"/>
    </row>
    <row r="561" spans="3:8" ht="14.25" x14ac:dyDescent="0.2">
      <c r="C561" s="31"/>
      <c r="H561" s="31"/>
    </row>
    <row r="562" spans="3:8" ht="14.25" x14ac:dyDescent="0.2">
      <c r="C562" s="31"/>
      <c r="H562" s="31"/>
    </row>
    <row r="563" spans="3:8" ht="14.25" x14ac:dyDescent="0.2">
      <c r="C563" s="31"/>
      <c r="H563" s="31"/>
    </row>
    <row r="564" spans="3:8" ht="14.25" x14ac:dyDescent="0.2">
      <c r="C564" s="31"/>
      <c r="H564" s="31"/>
    </row>
    <row r="565" spans="3:8" ht="14.25" x14ac:dyDescent="0.2">
      <c r="C565" s="31"/>
      <c r="H565" s="31"/>
    </row>
    <row r="566" spans="3:8" ht="14.25" x14ac:dyDescent="0.2">
      <c r="C566" s="31"/>
      <c r="H566" s="31"/>
    </row>
    <row r="567" spans="3:8" ht="14.25" x14ac:dyDescent="0.2">
      <c r="C567" s="31"/>
      <c r="H567" s="31"/>
    </row>
    <row r="568" spans="3:8" ht="14.25" x14ac:dyDescent="0.2">
      <c r="C568" s="31"/>
      <c r="H568" s="31"/>
    </row>
    <row r="569" spans="3:8" ht="14.25" x14ac:dyDescent="0.2">
      <c r="C569" s="31"/>
      <c r="H569" s="31"/>
    </row>
    <row r="570" spans="3:8" ht="14.25" x14ac:dyDescent="0.2">
      <c r="C570" s="31"/>
      <c r="H570" s="31"/>
    </row>
    <row r="571" spans="3:8" ht="14.25" x14ac:dyDescent="0.2">
      <c r="C571" s="31"/>
      <c r="H571" s="31"/>
    </row>
    <row r="572" spans="3:8" ht="14.25" x14ac:dyDescent="0.2">
      <c r="C572" s="31"/>
      <c r="H572" s="31"/>
    </row>
    <row r="573" spans="3:8" ht="14.25" x14ac:dyDescent="0.2">
      <c r="C573" s="31"/>
      <c r="H573" s="31"/>
    </row>
    <row r="574" spans="3:8" ht="14.25" x14ac:dyDescent="0.2">
      <c r="C574" s="31"/>
      <c r="H574" s="31"/>
    </row>
    <row r="575" spans="3:8" ht="14.25" x14ac:dyDescent="0.2">
      <c r="C575" s="31"/>
      <c r="H575" s="31"/>
    </row>
    <row r="576" spans="3:8" ht="14.25" x14ac:dyDescent="0.2">
      <c r="C576" s="31"/>
      <c r="H576" s="31"/>
    </row>
    <row r="577" spans="3:8" ht="14.25" x14ac:dyDescent="0.2">
      <c r="C577" s="31"/>
      <c r="H577" s="31"/>
    </row>
    <row r="578" spans="3:8" ht="14.25" x14ac:dyDescent="0.2">
      <c r="C578" s="31"/>
      <c r="H578" s="31"/>
    </row>
    <row r="579" spans="3:8" ht="14.25" x14ac:dyDescent="0.2">
      <c r="C579" s="31"/>
      <c r="H579" s="31"/>
    </row>
    <row r="580" spans="3:8" ht="14.25" x14ac:dyDescent="0.2">
      <c r="C580" s="31"/>
      <c r="H580" s="31"/>
    </row>
    <row r="581" spans="3:8" ht="14.25" x14ac:dyDescent="0.2">
      <c r="C581" s="31"/>
      <c r="H581" s="31"/>
    </row>
    <row r="582" spans="3:8" ht="14.25" x14ac:dyDescent="0.2">
      <c r="C582" s="31"/>
      <c r="H582" s="31"/>
    </row>
    <row r="583" spans="3:8" ht="14.25" x14ac:dyDescent="0.2">
      <c r="C583" s="31"/>
      <c r="H583" s="31"/>
    </row>
    <row r="584" spans="3:8" ht="14.25" x14ac:dyDescent="0.2">
      <c r="C584" s="31"/>
      <c r="H584" s="31"/>
    </row>
    <row r="585" spans="3:8" ht="14.25" x14ac:dyDescent="0.2">
      <c r="C585" s="31"/>
      <c r="H585" s="31"/>
    </row>
    <row r="586" spans="3:8" ht="14.25" x14ac:dyDescent="0.2">
      <c r="C586" s="31"/>
      <c r="H586" s="31"/>
    </row>
    <row r="587" spans="3:8" ht="14.25" x14ac:dyDescent="0.2">
      <c r="C587" s="31"/>
      <c r="H587" s="31"/>
    </row>
    <row r="588" spans="3:8" ht="14.25" x14ac:dyDescent="0.2">
      <c r="C588" s="31"/>
      <c r="H588" s="31"/>
    </row>
    <row r="589" spans="3:8" ht="14.25" x14ac:dyDescent="0.2">
      <c r="C589" s="31"/>
      <c r="H589" s="31"/>
    </row>
    <row r="590" spans="3:8" ht="14.25" x14ac:dyDescent="0.2">
      <c r="C590" s="31"/>
      <c r="H590" s="31"/>
    </row>
    <row r="591" spans="3:8" ht="14.25" x14ac:dyDescent="0.2">
      <c r="C591" s="31"/>
      <c r="H591" s="31"/>
    </row>
    <row r="592" spans="3:8" ht="14.25" x14ac:dyDescent="0.2">
      <c r="C592" s="31"/>
      <c r="H592" s="31"/>
    </row>
    <row r="593" spans="3:8" ht="14.25" x14ac:dyDescent="0.2">
      <c r="C593" s="31"/>
      <c r="H593" s="31"/>
    </row>
    <row r="594" spans="3:8" ht="14.25" x14ac:dyDescent="0.2">
      <c r="C594" s="31"/>
      <c r="H594" s="31"/>
    </row>
    <row r="595" spans="3:8" ht="14.25" x14ac:dyDescent="0.2">
      <c r="C595" s="31"/>
      <c r="H595" s="31"/>
    </row>
    <row r="596" spans="3:8" ht="14.25" x14ac:dyDescent="0.2">
      <c r="C596" s="31"/>
      <c r="H596" s="31"/>
    </row>
    <row r="597" spans="3:8" ht="14.25" x14ac:dyDescent="0.2">
      <c r="C597" s="31"/>
      <c r="H597" s="31"/>
    </row>
    <row r="598" spans="3:8" ht="14.25" x14ac:dyDescent="0.2">
      <c r="C598" s="31"/>
      <c r="H598" s="31"/>
    </row>
    <row r="599" spans="3:8" ht="14.25" x14ac:dyDescent="0.2">
      <c r="C599" s="31"/>
      <c r="H599" s="31"/>
    </row>
    <row r="600" spans="3:8" ht="14.25" x14ac:dyDescent="0.2">
      <c r="C600" s="31"/>
      <c r="H600" s="31"/>
    </row>
    <row r="601" spans="3:8" ht="14.25" x14ac:dyDescent="0.2">
      <c r="C601" s="31"/>
      <c r="H601" s="31"/>
    </row>
    <row r="602" spans="3:8" ht="14.25" x14ac:dyDescent="0.2">
      <c r="C602" s="31"/>
      <c r="H602" s="31"/>
    </row>
    <row r="603" spans="3:8" ht="14.25" x14ac:dyDescent="0.2">
      <c r="C603" s="31"/>
      <c r="H603" s="31"/>
    </row>
    <row r="604" spans="3:8" ht="14.25" x14ac:dyDescent="0.2">
      <c r="C604" s="31"/>
      <c r="H604" s="31"/>
    </row>
    <row r="605" spans="3:8" ht="14.25" x14ac:dyDescent="0.2">
      <c r="C605" s="31"/>
      <c r="H605" s="31"/>
    </row>
    <row r="606" spans="3:8" ht="14.25" x14ac:dyDescent="0.2">
      <c r="C606" s="31"/>
      <c r="H606" s="31"/>
    </row>
    <row r="607" spans="3:8" ht="14.25" x14ac:dyDescent="0.2">
      <c r="C607" s="31"/>
      <c r="H607" s="31"/>
    </row>
    <row r="608" spans="3:8" ht="14.25" x14ac:dyDescent="0.2">
      <c r="C608" s="31"/>
      <c r="H608" s="31"/>
    </row>
    <row r="609" spans="3:8" ht="14.25" x14ac:dyDescent="0.2">
      <c r="C609" s="31"/>
      <c r="H609" s="31"/>
    </row>
    <row r="610" spans="3:8" ht="14.25" x14ac:dyDescent="0.2">
      <c r="C610" s="31"/>
      <c r="H610" s="31"/>
    </row>
    <row r="611" spans="3:8" ht="14.25" x14ac:dyDescent="0.2">
      <c r="C611" s="31"/>
      <c r="H611" s="31"/>
    </row>
    <row r="612" spans="3:8" ht="14.25" x14ac:dyDescent="0.2">
      <c r="C612" s="31"/>
      <c r="H612" s="31"/>
    </row>
    <row r="613" spans="3:8" ht="14.25" x14ac:dyDescent="0.2">
      <c r="C613" s="31"/>
      <c r="H613" s="31"/>
    </row>
    <row r="614" spans="3:8" ht="14.25" x14ac:dyDescent="0.2">
      <c r="C614" s="31"/>
      <c r="H614" s="31"/>
    </row>
    <row r="615" spans="3:8" ht="14.25" x14ac:dyDescent="0.2">
      <c r="C615" s="31"/>
      <c r="H615" s="31"/>
    </row>
    <row r="616" spans="3:8" ht="14.25" x14ac:dyDescent="0.2">
      <c r="C616" s="31"/>
      <c r="H616" s="31"/>
    </row>
    <row r="617" spans="3:8" ht="14.25" x14ac:dyDescent="0.2">
      <c r="C617" s="31"/>
      <c r="H617" s="31"/>
    </row>
    <row r="618" spans="3:8" ht="14.25" x14ac:dyDescent="0.2">
      <c r="C618" s="31"/>
      <c r="H618" s="31"/>
    </row>
    <row r="619" spans="3:8" ht="14.25" x14ac:dyDescent="0.2">
      <c r="C619" s="31"/>
      <c r="H619" s="31"/>
    </row>
    <row r="620" spans="3:8" ht="14.25" x14ac:dyDescent="0.2">
      <c r="C620" s="31"/>
      <c r="H620" s="31"/>
    </row>
    <row r="621" spans="3:8" ht="14.25" x14ac:dyDescent="0.2">
      <c r="C621" s="31"/>
      <c r="H621" s="31"/>
    </row>
    <row r="622" spans="3:8" ht="14.25" x14ac:dyDescent="0.2">
      <c r="C622" s="31"/>
      <c r="H622" s="31"/>
    </row>
    <row r="623" spans="3:8" ht="14.25" x14ac:dyDescent="0.2">
      <c r="C623" s="31"/>
      <c r="H623" s="31"/>
    </row>
    <row r="624" spans="3:8" ht="14.25" x14ac:dyDescent="0.2">
      <c r="C624" s="31"/>
      <c r="H624" s="31"/>
    </row>
    <row r="625" spans="3:8" ht="14.25" x14ac:dyDescent="0.2">
      <c r="C625" s="31"/>
      <c r="H625" s="31"/>
    </row>
    <row r="626" spans="3:8" ht="14.25" x14ac:dyDescent="0.2">
      <c r="C626" s="31"/>
      <c r="H626" s="31"/>
    </row>
    <row r="627" spans="3:8" ht="14.25" x14ac:dyDescent="0.2">
      <c r="C627" s="31"/>
      <c r="H627" s="31"/>
    </row>
    <row r="628" spans="3:8" ht="14.25" x14ac:dyDescent="0.2">
      <c r="C628" s="31"/>
      <c r="H628" s="31"/>
    </row>
    <row r="629" spans="3:8" ht="14.25" x14ac:dyDescent="0.2">
      <c r="C629" s="31"/>
      <c r="H629" s="31"/>
    </row>
    <row r="630" spans="3:8" ht="14.25" x14ac:dyDescent="0.2">
      <c r="C630" s="31"/>
      <c r="H630" s="31"/>
    </row>
    <row r="631" spans="3:8" ht="14.25" x14ac:dyDescent="0.2">
      <c r="C631" s="31"/>
      <c r="H631" s="31"/>
    </row>
    <row r="632" spans="3:8" ht="14.25" x14ac:dyDescent="0.2">
      <c r="C632" s="31"/>
      <c r="H632" s="31"/>
    </row>
    <row r="633" spans="3:8" ht="14.25" x14ac:dyDescent="0.2">
      <c r="C633" s="31"/>
      <c r="H633" s="31"/>
    </row>
    <row r="634" spans="3:8" ht="14.25" x14ac:dyDescent="0.2">
      <c r="C634" s="31"/>
      <c r="H634" s="31"/>
    </row>
    <row r="635" spans="3:8" ht="14.25" x14ac:dyDescent="0.2">
      <c r="C635" s="31"/>
      <c r="H635" s="31"/>
    </row>
    <row r="636" spans="3:8" ht="14.25" x14ac:dyDescent="0.2">
      <c r="C636" s="31"/>
      <c r="H636" s="31"/>
    </row>
    <row r="637" spans="3:8" ht="14.25" x14ac:dyDescent="0.2">
      <c r="C637" s="31"/>
      <c r="H637" s="31"/>
    </row>
    <row r="638" spans="3:8" ht="14.25" x14ac:dyDescent="0.2">
      <c r="C638" s="31"/>
      <c r="H638" s="31"/>
    </row>
    <row r="639" spans="3:8" ht="14.25" x14ac:dyDescent="0.2">
      <c r="C639" s="31"/>
      <c r="H639" s="31"/>
    </row>
    <row r="640" spans="3:8" ht="14.25" x14ac:dyDescent="0.2">
      <c r="C640" s="31"/>
      <c r="H640" s="31"/>
    </row>
    <row r="641" spans="3:8" ht="14.25" x14ac:dyDescent="0.2">
      <c r="C641" s="31"/>
      <c r="H641" s="31"/>
    </row>
    <row r="642" spans="3:8" ht="14.25" x14ac:dyDescent="0.2">
      <c r="C642" s="31"/>
      <c r="H642" s="31"/>
    </row>
    <row r="643" spans="3:8" ht="14.25" x14ac:dyDescent="0.2">
      <c r="C643" s="31"/>
      <c r="H643" s="31"/>
    </row>
    <row r="644" spans="3:8" ht="14.25" x14ac:dyDescent="0.2">
      <c r="C644" s="31"/>
      <c r="H644" s="31"/>
    </row>
    <row r="645" spans="3:8" ht="14.25" x14ac:dyDescent="0.2">
      <c r="C645" s="31"/>
      <c r="H645" s="31"/>
    </row>
    <row r="646" spans="3:8" ht="14.25" x14ac:dyDescent="0.2">
      <c r="C646" s="31"/>
      <c r="H646" s="31"/>
    </row>
    <row r="647" spans="3:8" ht="14.25" x14ac:dyDescent="0.2">
      <c r="C647" s="31"/>
      <c r="H647" s="31"/>
    </row>
    <row r="648" spans="3:8" ht="14.25" x14ac:dyDescent="0.2">
      <c r="C648" s="31"/>
      <c r="H648" s="31"/>
    </row>
    <row r="649" spans="3:8" ht="14.25" x14ac:dyDescent="0.2">
      <c r="C649" s="31"/>
      <c r="H649" s="31"/>
    </row>
    <row r="650" spans="3:8" ht="14.25" x14ac:dyDescent="0.2">
      <c r="C650" s="31"/>
      <c r="H650" s="31"/>
    </row>
    <row r="651" spans="3:8" ht="14.25" x14ac:dyDescent="0.2">
      <c r="C651" s="31"/>
      <c r="H651" s="31"/>
    </row>
    <row r="652" spans="3:8" ht="14.25" x14ac:dyDescent="0.2">
      <c r="C652" s="31"/>
      <c r="H652" s="31"/>
    </row>
    <row r="653" spans="3:8" ht="14.25" x14ac:dyDescent="0.2">
      <c r="C653" s="31"/>
      <c r="H653" s="31"/>
    </row>
    <row r="654" spans="3:8" ht="14.25" x14ac:dyDescent="0.2">
      <c r="C654" s="31"/>
      <c r="H654" s="31"/>
    </row>
    <row r="655" spans="3:8" ht="14.25" x14ac:dyDescent="0.2">
      <c r="C655" s="31"/>
      <c r="H655" s="31"/>
    </row>
    <row r="656" spans="3:8" ht="14.25" x14ac:dyDescent="0.2">
      <c r="C656" s="31"/>
      <c r="H656" s="31"/>
    </row>
    <row r="657" spans="3:8" ht="14.25" x14ac:dyDescent="0.2">
      <c r="C657" s="31"/>
      <c r="H657" s="31"/>
    </row>
    <row r="658" spans="3:8" ht="14.25" x14ac:dyDescent="0.2">
      <c r="C658" s="31"/>
      <c r="H658" s="31"/>
    </row>
    <row r="659" spans="3:8" ht="14.25" x14ac:dyDescent="0.2">
      <c r="C659" s="31"/>
      <c r="H659" s="31"/>
    </row>
    <row r="660" spans="3:8" ht="14.25" x14ac:dyDescent="0.2">
      <c r="C660" s="31"/>
      <c r="H660" s="31"/>
    </row>
    <row r="661" spans="3:8" ht="14.25" x14ac:dyDescent="0.2">
      <c r="C661" s="31"/>
      <c r="H661" s="31"/>
    </row>
    <row r="662" spans="3:8" ht="14.25" x14ac:dyDescent="0.2">
      <c r="C662" s="31"/>
      <c r="H662" s="31"/>
    </row>
    <row r="663" spans="3:8" ht="14.25" x14ac:dyDescent="0.2">
      <c r="C663" s="31"/>
      <c r="H663" s="31"/>
    </row>
    <row r="664" spans="3:8" ht="14.25" x14ac:dyDescent="0.2">
      <c r="C664" s="31"/>
      <c r="H664" s="31"/>
    </row>
    <row r="665" spans="3:8" ht="14.25" x14ac:dyDescent="0.2">
      <c r="C665" s="31"/>
      <c r="H665" s="31"/>
    </row>
    <row r="666" spans="3:8" ht="14.25" x14ac:dyDescent="0.2">
      <c r="C666" s="31"/>
      <c r="H666" s="31"/>
    </row>
    <row r="667" spans="3:8" ht="14.25" x14ac:dyDescent="0.2">
      <c r="C667" s="31"/>
      <c r="H667" s="31"/>
    </row>
    <row r="668" spans="3:8" ht="14.25" x14ac:dyDescent="0.2">
      <c r="C668" s="31"/>
      <c r="H668" s="31"/>
    </row>
    <row r="669" spans="3:8" ht="14.25" x14ac:dyDescent="0.2">
      <c r="C669" s="31"/>
      <c r="H669" s="31"/>
    </row>
    <row r="670" spans="3:8" ht="14.25" x14ac:dyDescent="0.2">
      <c r="C670" s="31"/>
      <c r="H670" s="31"/>
    </row>
    <row r="671" spans="3:8" ht="14.25" x14ac:dyDescent="0.2">
      <c r="C671" s="31"/>
      <c r="H671" s="31"/>
    </row>
    <row r="672" spans="3:8" ht="14.25" x14ac:dyDescent="0.2">
      <c r="C672" s="31"/>
      <c r="H672" s="31"/>
    </row>
    <row r="673" spans="3:8" ht="14.25" x14ac:dyDescent="0.2">
      <c r="C673" s="31"/>
      <c r="H673" s="31"/>
    </row>
    <row r="674" spans="3:8" ht="14.25" x14ac:dyDescent="0.2">
      <c r="C674" s="31"/>
      <c r="H674" s="31"/>
    </row>
    <row r="675" spans="3:8" ht="14.25" x14ac:dyDescent="0.2">
      <c r="C675" s="31"/>
      <c r="H675" s="31"/>
    </row>
    <row r="676" spans="3:8" ht="14.25" x14ac:dyDescent="0.2">
      <c r="C676" s="31"/>
      <c r="H676" s="31"/>
    </row>
    <row r="677" spans="3:8" ht="14.25" x14ac:dyDescent="0.2">
      <c r="C677" s="31"/>
      <c r="H677" s="31"/>
    </row>
    <row r="678" spans="3:8" ht="14.25" x14ac:dyDescent="0.2">
      <c r="C678" s="31"/>
      <c r="H678" s="31"/>
    </row>
    <row r="679" spans="3:8" ht="14.25" x14ac:dyDescent="0.2">
      <c r="C679" s="31"/>
      <c r="H679" s="31"/>
    </row>
    <row r="680" spans="3:8" ht="14.25" x14ac:dyDescent="0.2">
      <c r="C680" s="31"/>
      <c r="H680" s="31"/>
    </row>
    <row r="681" spans="3:8" ht="14.25" x14ac:dyDescent="0.2">
      <c r="C681" s="31"/>
      <c r="H681" s="31"/>
    </row>
    <row r="682" spans="3:8" ht="14.25" x14ac:dyDescent="0.2">
      <c r="C682" s="31"/>
      <c r="H682" s="31"/>
    </row>
    <row r="683" spans="3:8" ht="14.25" x14ac:dyDescent="0.2">
      <c r="C683" s="31"/>
      <c r="H683" s="31"/>
    </row>
    <row r="684" spans="3:8" ht="14.25" x14ac:dyDescent="0.2">
      <c r="C684" s="31"/>
      <c r="H684" s="31"/>
    </row>
    <row r="685" spans="3:8" ht="14.25" x14ac:dyDescent="0.2">
      <c r="C685" s="31"/>
      <c r="H685" s="31"/>
    </row>
    <row r="686" spans="3:8" ht="14.25" x14ac:dyDescent="0.2">
      <c r="C686" s="31"/>
      <c r="H686" s="31"/>
    </row>
    <row r="687" spans="3:8" ht="14.25" x14ac:dyDescent="0.2">
      <c r="C687" s="31"/>
      <c r="H687" s="31"/>
    </row>
    <row r="688" spans="3:8" ht="14.25" x14ac:dyDescent="0.2">
      <c r="C688" s="31"/>
      <c r="H688" s="31"/>
    </row>
    <row r="689" spans="3:8" ht="14.25" x14ac:dyDescent="0.2">
      <c r="C689" s="31"/>
      <c r="H689" s="31"/>
    </row>
    <row r="690" spans="3:8" ht="14.25" x14ac:dyDescent="0.2">
      <c r="C690" s="31"/>
      <c r="H690" s="31"/>
    </row>
    <row r="691" spans="3:8" ht="14.25" x14ac:dyDescent="0.2">
      <c r="C691" s="31"/>
      <c r="H691" s="31"/>
    </row>
    <row r="692" spans="3:8" ht="14.25" x14ac:dyDescent="0.2">
      <c r="C692" s="31"/>
      <c r="H692" s="31"/>
    </row>
    <row r="693" spans="3:8" ht="14.25" x14ac:dyDescent="0.2">
      <c r="C693" s="31"/>
      <c r="H693" s="31"/>
    </row>
    <row r="694" spans="3:8" ht="14.25" x14ac:dyDescent="0.2">
      <c r="C694" s="31"/>
      <c r="H694" s="31"/>
    </row>
    <row r="695" spans="3:8" ht="14.25" x14ac:dyDescent="0.2">
      <c r="C695" s="31"/>
      <c r="H695" s="31"/>
    </row>
    <row r="696" spans="3:8" ht="14.25" x14ac:dyDescent="0.2">
      <c r="C696" s="31"/>
      <c r="H696" s="31"/>
    </row>
    <row r="697" spans="3:8" ht="14.25" x14ac:dyDescent="0.2">
      <c r="C697" s="31"/>
      <c r="H697" s="31"/>
    </row>
    <row r="698" spans="3:8" ht="14.25" x14ac:dyDescent="0.2">
      <c r="C698" s="31"/>
      <c r="H698" s="31"/>
    </row>
    <row r="699" spans="3:8" ht="14.25" x14ac:dyDescent="0.2">
      <c r="C699" s="31"/>
      <c r="H699" s="31"/>
    </row>
    <row r="700" spans="3:8" ht="14.25" x14ac:dyDescent="0.2">
      <c r="C700" s="31"/>
      <c r="H700" s="31"/>
    </row>
    <row r="701" spans="3:8" ht="14.25" x14ac:dyDescent="0.2">
      <c r="C701" s="31"/>
      <c r="H701" s="31"/>
    </row>
    <row r="702" spans="3:8" ht="14.25" x14ac:dyDescent="0.2">
      <c r="C702" s="31"/>
      <c r="H702" s="31"/>
    </row>
    <row r="703" spans="3:8" ht="14.25" x14ac:dyDescent="0.2">
      <c r="C703" s="31"/>
      <c r="H703" s="31"/>
    </row>
    <row r="704" spans="3:8" ht="14.25" x14ac:dyDescent="0.2">
      <c r="C704" s="31"/>
      <c r="H704" s="31"/>
    </row>
    <row r="705" spans="3:8" ht="14.25" x14ac:dyDescent="0.2">
      <c r="C705" s="31"/>
      <c r="H705" s="31"/>
    </row>
    <row r="706" spans="3:8" ht="14.25" x14ac:dyDescent="0.2">
      <c r="C706" s="31"/>
      <c r="H706" s="31"/>
    </row>
    <row r="707" spans="3:8" ht="14.25" x14ac:dyDescent="0.2">
      <c r="C707" s="31"/>
      <c r="H707" s="31"/>
    </row>
    <row r="708" spans="3:8" ht="14.25" x14ac:dyDescent="0.2">
      <c r="C708" s="31"/>
      <c r="H708" s="31"/>
    </row>
    <row r="709" spans="3:8" ht="14.25" x14ac:dyDescent="0.2">
      <c r="C709" s="31"/>
      <c r="H709" s="31"/>
    </row>
    <row r="710" spans="3:8" ht="14.25" x14ac:dyDescent="0.2">
      <c r="C710" s="31"/>
      <c r="H710" s="31"/>
    </row>
    <row r="711" spans="3:8" ht="14.25" x14ac:dyDescent="0.2">
      <c r="C711" s="31"/>
      <c r="H711" s="31"/>
    </row>
    <row r="712" spans="3:8" ht="14.25" x14ac:dyDescent="0.2">
      <c r="C712" s="31"/>
      <c r="H712" s="31"/>
    </row>
    <row r="713" spans="3:8" ht="14.25" x14ac:dyDescent="0.2">
      <c r="C713" s="31"/>
      <c r="H713" s="31"/>
    </row>
    <row r="714" spans="3:8" ht="14.25" x14ac:dyDescent="0.2">
      <c r="C714" s="31"/>
      <c r="H714" s="31"/>
    </row>
    <row r="715" spans="3:8" ht="14.25" x14ac:dyDescent="0.2">
      <c r="C715" s="31"/>
      <c r="H715" s="31"/>
    </row>
    <row r="716" spans="3:8" ht="14.25" x14ac:dyDescent="0.2">
      <c r="C716" s="31"/>
      <c r="H716" s="31"/>
    </row>
    <row r="717" spans="3:8" ht="14.25" x14ac:dyDescent="0.2">
      <c r="C717" s="31"/>
      <c r="H717" s="31"/>
    </row>
    <row r="718" spans="3:8" ht="14.25" x14ac:dyDescent="0.2">
      <c r="C718" s="31"/>
      <c r="H718" s="31"/>
    </row>
    <row r="719" spans="3:8" ht="14.25" x14ac:dyDescent="0.2">
      <c r="C719" s="31"/>
      <c r="H719" s="31"/>
    </row>
    <row r="720" spans="3:8" ht="14.25" x14ac:dyDescent="0.2">
      <c r="C720" s="31"/>
      <c r="H720" s="31"/>
    </row>
    <row r="721" spans="3:8" ht="14.25" x14ac:dyDescent="0.2">
      <c r="C721" s="31"/>
      <c r="H721" s="31"/>
    </row>
    <row r="722" spans="3:8" ht="14.25" x14ac:dyDescent="0.2">
      <c r="C722" s="31"/>
      <c r="H722" s="31"/>
    </row>
    <row r="723" spans="3:8" ht="14.25" x14ac:dyDescent="0.2">
      <c r="C723" s="31"/>
      <c r="H723" s="31"/>
    </row>
    <row r="724" spans="3:8" ht="14.25" x14ac:dyDescent="0.2">
      <c r="C724" s="31"/>
      <c r="H724" s="31"/>
    </row>
    <row r="725" spans="3:8" ht="14.25" x14ac:dyDescent="0.2">
      <c r="C725" s="31"/>
      <c r="H725" s="31"/>
    </row>
    <row r="726" spans="3:8" ht="14.25" x14ac:dyDescent="0.2">
      <c r="C726" s="31"/>
      <c r="H726" s="31"/>
    </row>
    <row r="727" spans="3:8" ht="14.25" x14ac:dyDescent="0.2">
      <c r="C727" s="31"/>
      <c r="H727" s="31"/>
    </row>
    <row r="728" spans="3:8" ht="14.25" x14ac:dyDescent="0.2">
      <c r="C728" s="31"/>
      <c r="H728" s="31"/>
    </row>
    <row r="729" spans="3:8" ht="14.25" x14ac:dyDescent="0.2">
      <c r="C729" s="31"/>
      <c r="H729" s="31"/>
    </row>
    <row r="730" spans="3:8" ht="14.25" x14ac:dyDescent="0.2">
      <c r="C730" s="31"/>
      <c r="H730" s="31"/>
    </row>
    <row r="731" spans="3:8" ht="14.25" x14ac:dyDescent="0.2">
      <c r="C731" s="31"/>
      <c r="H731" s="31"/>
    </row>
    <row r="732" spans="3:8" ht="14.25" x14ac:dyDescent="0.2">
      <c r="C732" s="31"/>
      <c r="H732" s="31"/>
    </row>
    <row r="733" spans="3:8" ht="14.25" x14ac:dyDescent="0.2">
      <c r="C733" s="31"/>
      <c r="H733" s="31"/>
    </row>
    <row r="734" spans="3:8" ht="14.25" x14ac:dyDescent="0.2">
      <c r="C734" s="31"/>
      <c r="H734" s="31"/>
    </row>
    <row r="735" spans="3:8" ht="14.25" x14ac:dyDescent="0.2">
      <c r="C735" s="31"/>
      <c r="H735" s="31"/>
    </row>
    <row r="736" spans="3:8" ht="14.25" x14ac:dyDescent="0.2">
      <c r="C736" s="31"/>
      <c r="H736" s="31"/>
    </row>
    <row r="737" spans="3:8" ht="14.25" x14ac:dyDescent="0.2">
      <c r="C737" s="31"/>
      <c r="H737" s="31"/>
    </row>
    <row r="738" spans="3:8" ht="14.25" x14ac:dyDescent="0.2">
      <c r="C738" s="31"/>
      <c r="H738" s="31"/>
    </row>
    <row r="739" spans="3:8" ht="14.25" x14ac:dyDescent="0.2">
      <c r="C739" s="31"/>
      <c r="H739" s="31"/>
    </row>
    <row r="740" spans="3:8" ht="14.25" x14ac:dyDescent="0.2">
      <c r="C740" s="31"/>
      <c r="H740" s="31"/>
    </row>
    <row r="741" spans="3:8" ht="14.25" x14ac:dyDescent="0.2">
      <c r="C741" s="31"/>
      <c r="H741" s="31"/>
    </row>
    <row r="742" spans="3:8" ht="14.25" x14ac:dyDescent="0.2">
      <c r="C742" s="31"/>
      <c r="H742" s="31"/>
    </row>
    <row r="743" spans="3:8" ht="14.25" x14ac:dyDescent="0.2">
      <c r="C743" s="31"/>
      <c r="H743" s="31"/>
    </row>
    <row r="744" spans="3:8" ht="14.25" x14ac:dyDescent="0.2">
      <c r="C744" s="31"/>
      <c r="H744" s="31"/>
    </row>
    <row r="745" spans="3:8" ht="14.25" x14ac:dyDescent="0.2">
      <c r="C745" s="31"/>
      <c r="H745" s="31"/>
    </row>
    <row r="746" spans="3:8" ht="14.25" x14ac:dyDescent="0.2">
      <c r="C746" s="31"/>
      <c r="H746" s="31"/>
    </row>
    <row r="747" spans="3:8" ht="14.25" x14ac:dyDescent="0.2">
      <c r="C747" s="31"/>
      <c r="H747" s="31"/>
    </row>
    <row r="748" spans="3:8" ht="14.25" x14ac:dyDescent="0.2">
      <c r="C748" s="31"/>
      <c r="H748" s="31"/>
    </row>
    <row r="749" spans="3:8" ht="14.25" x14ac:dyDescent="0.2">
      <c r="C749" s="31"/>
      <c r="H749" s="31"/>
    </row>
    <row r="750" spans="3:8" ht="14.25" x14ac:dyDescent="0.2">
      <c r="C750" s="31"/>
      <c r="H750" s="31"/>
    </row>
    <row r="751" spans="3:8" ht="14.25" x14ac:dyDescent="0.2">
      <c r="C751" s="31"/>
      <c r="H751" s="31"/>
    </row>
    <row r="752" spans="3:8" ht="14.25" x14ac:dyDescent="0.2">
      <c r="C752" s="31"/>
      <c r="H752" s="31"/>
    </row>
    <row r="753" spans="3:8" ht="14.25" x14ac:dyDescent="0.2">
      <c r="C753" s="31"/>
      <c r="H753" s="31"/>
    </row>
    <row r="754" spans="3:8" ht="14.25" x14ac:dyDescent="0.2">
      <c r="C754" s="31"/>
      <c r="H754" s="31"/>
    </row>
    <row r="755" spans="3:8" ht="14.25" x14ac:dyDescent="0.2">
      <c r="C755" s="31"/>
      <c r="H755" s="31"/>
    </row>
    <row r="756" spans="3:8" ht="14.25" x14ac:dyDescent="0.2">
      <c r="C756" s="31"/>
      <c r="H756" s="31"/>
    </row>
    <row r="757" spans="3:8" ht="14.25" x14ac:dyDescent="0.2">
      <c r="C757" s="31"/>
      <c r="H757" s="31"/>
    </row>
    <row r="758" spans="3:8" ht="14.25" x14ac:dyDescent="0.2">
      <c r="C758" s="31"/>
      <c r="H758" s="31"/>
    </row>
    <row r="759" spans="3:8" ht="14.25" x14ac:dyDescent="0.2">
      <c r="C759" s="31"/>
      <c r="H759" s="31"/>
    </row>
    <row r="760" spans="3:8" ht="14.25" x14ac:dyDescent="0.2">
      <c r="C760" s="31"/>
      <c r="H760" s="31"/>
    </row>
    <row r="761" spans="3:8" ht="14.25" x14ac:dyDescent="0.2">
      <c r="C761" s="31"/>
      <c r="H761" s="31"/>
    </row>
    <row r="762" spans="3:8" ht="14.25" x14ac:dyDescent="0.2">
      <c r="C762" s="31"/>
      <c r="H762" s="31"/>
    </row>
    <row r="763" spans="3:8" ht="14.25" x14ac:dyDescent="0.2">
      <c r="C763" s="31"/>
      <c r="H763" s="31"/>
    </row>
    <row r="764" spans="3:8" ht="14.25" x14ac:dyDescent="0.2">
      <c r="C764" s="31"/>
      <c r="H764" s="31"/>
    </row>
    <row r="765" spans="3:8" ht="14.25" x14ac:dyDescent="0.2">
      <c r="C765" s="31"/>
      <c r="H765" s="31"/>
    </row>
    <row r="766" spans="3:8" ht="14.25" x14ac:dyDescent="0.2">
      <c r="C766" s="31"/>
      <c r="H766" s="31"/>
    </row>
    <row r="767" spans="3:8" ht="14.25" x14ac:dyDescent="0.2">
      <c r="C767" s="31"/>
      <c r="H767" s="31"/>
    </row>
    <row r="768" spans="3:8" ht="14.25" x14ac:dyDescent="0.2">
      <c r="C768" s="31"/>
      <c r="H768" s="31"/>
    </row>
    <row r="769" spans="3:8" ht="14.25" x14ac:dyDescent="0.2">
      <c r="C769" s="31"/>
      <c r="H769" s="31"/>
    </row>
    <row r="770" spans="3:8" ht="14.25" x14ac:dyDescent="0.2">
      <c r="C770" s="31"/>
      <c r="H770" s="31"/>
    </row>
    <row r="771" spans="3:8" ht="14.25" x14ac:dyDescent="0.2">
      <c r="C771" s="31"/>
      <c r="H771" s="31"/>
    </row>
    <row r="772" spans="3:8" ht="14.25" x14ac:dyDescent="0.2">
      <c r="C772" s="31"/>
      <c r="H772" s="31"/>
    </row>
    <row r="773" spans="3:8" ht="14.25" x14ac:dyDescent="0.2">
      <c r="C773" s="31"/>
      <c r="H773" s="31"/>
    </row>
    <row r="774" spans="3:8" ht="14.25" x14ac:dyDescent="0.2">
      <c r="C774" s="31"/>
      <c r="H774" s="31"/>
    </row>
    <row r="775" spans="3:8" ht="14.25" x14ac:dyDescent="0.2">
      <c r="C775" s="31"/>
      <c r="H775" s="31"/>
    </row>
    <row r="776" spans="3:8" ht="14.25" x14ac:dyDescent="0.2">
      <c r="C776" s="31"/>
      <c r="H776" s="31"/>
    </row>
    <row r="777" spans="3:8" ht="14.25" x14ac:dyDescent="0.2">
      <c r="C777" s="31"/>
      <c r="H777" s="31"/>
    </row>
    <row r="778" spans="3:8" ht="14.25" x14ac:dyDescent="0.2">
      <c r="C778" s="31"/>
      <c r="H778" s="31"/>
    </row>
    <row r="779" spans="3:8" ht="14.25" x14ac:dyDescent="0.2">
      <c r="C779" s="31"/>
      <c r="H779" s="31"/>
    </row>
    <row r="780" spans="3:8" ht="14.25" x14ac:dyDescent="0.2">
      <c r="C780" s="31"/>
      <c r="H780" s="31"/>
    </row>
    <row r="781" spans="3:8" ht="14.25" x14ac:dyDescent="0.2">
      <c r="C781" s="31"/>
      <c r="H781" s="31"/>
    </row>
    <row r="782" spans="3:8" ht="14.25" x14ac:dyDescent="0.2">
      <c r="C782" s="31"/>
      <c r="H782" s="31"/>
    </row>
    <row r="783" spans="3:8" ht="14.25" x14ac:dyDescent="0.2">
      <c r="C783" s="31"/>
      <c r="H783" s="31"/>
    </row>
    <row r="784" spans="3:8" ht="14.25" x14ac:dyDescent="0.2">
      <c r="C784" s="31"/>
      <c r="H784" s="31"/>
    </row>
    <row r="785" spans="3:8" ht="14.25" x14ac:dyDescent="0.2">
      <c r="C785" s="31"/>
      <c r="H785" s="31"/>
    </row>
    <row r="786" spans="3:8" ht="14.25" x14ac:dyDescent="0.2">
      <c r="C786" s="31"/>
      <c r="H786" s="31"/>
    </row>
    <row r="787" spans="3:8" ht="14.25" x14ac:dyDescent="0.2">
      <c r="C787" s="31"/>
      <c r="H787" s="31"/>
    </row>
    <row r="788" spans="3:8" ht="14.25" x14ac:dyDescent="0.2">
      <c r="C788" s="31"/>
      <c r="H788" s="31"/>
    </row>
    <row r="789" spans="3:8" ht="14.25" x14ac:dyDescent="0.2">
      <c r="C789" s="31"/>
      <c r="H789" s="31"/>
    </row>
    <row r="790" spans="3:8" ht="14.25" x14ac:dyDescent="0.2">
      <c r="C790" s="31"/>
      <c r="H790" s="31"/>
    </row>
    <row r="791" spans="3:8" ht="14.25" x14ac:dyDescent="0.2">
      <c r="C791" s="31"/>
      <c r="H791" s="31"/>
    </row>
    <row r="792" spans="3:8" ht="14.25" x14ac:dyDescent="0.2">
      <c r="C792" s="31"/>
      <c r="H792" s="31"/>
    </row>
    <row r="793" spans="3:8" ht="14.25" x14ac:dyDescent="0.2">
      <c r="C793" s="31"/>
      <c r="H793" s="31"/>
    </row>
    <row r="794" spans="3:8" ht="14.25" x14ac:dyDescent="0.2">
      <c r="C794" s="31"/>
      <c r="H794" s="31"/>
    </row>
    <row r="795" spans="3:8" ht="14.25" x14ac:dyDescent="0.2">
      <c r="C795" s="31"/>
      <c r="H795" s="31"/>
    </row>
    <row r="796" spans="3:8" ht="14.25" x14ac:dyDescent="0.2">
      <c r="C796" s="31"/>
      <c r="H796" s="31"/>
    </row>
    <row r="797" spans="3:8" ht="14.25" x14ac:dyDescent="0.2">
      <c r="C797" s="31"/>
      <c r="H797" s="31"/>
    </row>
    <row r="798" spans="3:8" ht="14.25" x14ac:dyDescent="0.2">
      <c r="C798" s="31"/>
      <c r="H798" s="31"/>
    </row>
    <row r="799" spans="3:8" ht="14.25" x14ac:dyDescent="0.2">
      <c r="C799" s="31"/>
      <c r="H799" s="31"/>
    </row>
    <row r="800" spans="3:8" ht="14.25" x14ac:dyDescent="0.2">
      <c r="C800" s="31"/>
      <c r="H800" s="31"/>
    </row>
    <row r="801" spans="3:8" ht="14.25" x14ac:dyDescent="0.2">
      <c r="C801" s="31"/>
      <c r="H801" s="31"/>
    </row>
    <row r="802" spans="3:8" ht="14.25" x14ac:dyDescent="0.2">
      <c r="C802" s="31"/>
      <c r="H802" s="31"/>
    </row>
    <row r="803" spans="3:8" ht="14.25" x14ac:dyDescent="0.2">
      <c r="C803" s="31"/>
      <c r="H803" s="31"/>
    </row>
    <row r="804" spans="3:8" ht="14.25" x14ac:dyDescent="0.2">
      <c r="C804" s="31"/>
      <c r="H804" s="31"/>
    </row>
    <row r="805" spans="3:8" ht="14.25" x14ac:dyDescent="0.2">
      <c r="C805" s="31"/>
      <c r="H805" s="31"/>
    </row>
    <row r="806" spans="3:8" ht="14.25" x14ac:dyDescent="0.2">
      <c r="C806" s="31"/>
      <c r="H806" s="31"/>
    </row>
    <row r="807" spans="3:8" ht="14.25" x14ac:dyDescent="0.2">
      <c r="C807" s="31"/>
      <c r="H807" s="31"/>
    </row>
    <row r="808" spans="3:8" ht="14.25" x14ac:dyDescent="0.2">
      <c r="C808" s="31"/>
      <c r="H808" s="31"/>
    </row>
    <row r="809" spans="3:8" ht="14.25" x14ac:dyDescent="0.2">
      <c r="C809" s="31"/>
      <c r="H809" s="31"/>
    </row>
    <row r="810" spans="3:8" ht="14.25" x14ac:dyDescent="0.2">
      <c r="C810" s="31"/>
      <c r="H810" s="31"/>
    </row>
    <row r="811" spans="3:8" ht="14.25" x14ac:dyDescent="0.2">
      <c r="C811" s="31"/>
      <c r="H811" s="31"/>
    </row>
    <row r="812" spans="3:8" ht="14.25" x14ac:dyDescent="0.2">
      <c r="C812" s="31"/>
      <c r="H812" s="31"/>
    </row>
    <row r="813" spans="3:8" ht="14.25" x14ac:dyDescent="0.2">
      <c r="C813" s="31"/>
      <c r="H813" s="31"/>
    </row>
    <row r="814" spans="3:8" ht="14.25" x14ac:dyDescent="0.2">
      <c r="C814" s="31"/>
      <c r="H814" s="31"/>
    </row>
    <row r="815" spans="3:8" ht="14.25" x14ac:dyDescent="0.2">
      <c r="C815" s="31"/>
      <c r="H815" s="31"/>
    </row>
    <row r="816" spans="3:8" ht="14.25" x14ac:dyDescent="0.2">
      <c r="C816" s="31"/>
      <c r="H816" s="31"/>
    </row>
    <row r="817" spans="3:8" ht="14.25" x14ac:dyDescent="0.2">
      <c r="C817" s="31"/>
      <c r="H817" s="31"/>
    </row>
    <row r="818" spans="3:8" ht="14.25" x14ac:dyDescent="0.2">
      <c r="C818" s="31"/>
      <c r="H818" s="31"/>
    </row>
    <row r="819" spans="3:8" ht="14.25" x14ac:dyDescent="0.2">
      <c r="C819" s="31"/>
      <c r="H819" s="31"/>
    </row>
    <row r="820" spans="3:8" ht="14.25" x14ac:dyDescent="0.2">
      <c r="C820" s="31"/>
      <c r="H820" s="31"/>
    </row>
    <row r="821" spans="3:8" ht="14.25" x14ac:dyDescent="0.2">
      <c r="C821" s="31"/>
      <c r="H821" s="31"/>
    </row>
    <row r="822" spans="3:8" ht="14.25" x14ac:dyDescent="0.2">
      <c r="C822" s="31"/>
      <c r="H822" s="31"/>
    </row>
    <row r="823" spans="3:8" ht="14.25" x14ac:dyDescent="0.2">
      <c r="C823" s="31"/>
      <c r="H823" s="31"/>
    </row>
    <row r="824" spans="3:8" ht="14.25" x14ac:dyDescent="0.2">
      <c r="C824" s="31"/>
      <c r="H824" s="31"/>
    </row>
    <row r="825" spans="3:8" ht="14.25" x14ac:dyDescent="0.2">
      <c r="C825" s="31"/>
      <c r="H825" s="31"/>
    </row>
    <row r="826" spans="3:8" ht="14.25" x14ac:dyDescent="0.2">
      <c r="C826" s="31"/>
      <c r="H826" s="31"/>
    </row>
    <row r="827" spans="3:8" ht="14.25" x14ac:dyDescent="0.2">
      <c r="C827" s="31"/>
      <c r="H827" s="31"/>
    </row>
    <row r="828" spans="3:8" ht="14.25" x14ac:dyDescent="0.2">
      <c r="C828" s="31"/>
      <c r="H828" s="31"/>
    </row>
    <row r="829" spans="3:8" ht="14.25" x14ac:dyDescent="0.2">
      <c r="C829" s="31"/>
      <c r="H829" s="31"/>
    </row>
    <row r="830" spans="3:8" ht="14.25" x14ac:dyDescent="0.2">
      <c r="C830" s="31"/>
      <c r="H830" s="31"/>
    </row>
    <row r="831" spans="3:8" ht="14.25" x14ac:dyDescent="0.2">
      <c r="C831" s="31"/>
      <c r="H831" s="31"/>
    </row>
    <row r="832" spans="3:8" ht="14.25" x14ac:dyDescent="0.2">
      <c r="C832" s="31"/>
      <c r="H832" s="31"/>
    </row>
    <row r="833" spans="3:8" ht="14.25" x14ac:dyDescent="0.2">
      <c r="C833" s="31"/>
      <c r="H833" s="31"/>
    </row>
    <row r="834" spans="3:8" ht="14.25" x14ac:dyDescent="0.2">
      <c r="C834" s="31"/>
      <c r="H834" s="31"/>
    </row>
    <row r="835" spans="3:8" ht="14.25" x14ac:dyDescent="0.2">
      <c r="C835" s="31"/>
      <c r="H835" s="31"/>
    </row>
    <row r="836" spans="3:8" ht="14.25" x14ac:dyDescent="0.2">
      <c r="C836" s="31"/>
      <c r="H836" s="31"/>
    </row>
    <row r="837" spans="3:8" ht="14.25" x14ac:dyDescent="0.2">
      <c r="C837" s="31"/>
      <c r="H837" s="31"/>
    </row>
    <row r="838" spans="3:8" ht="14.25" x14ac:dyDescent="0.2">
      <c r="C838" s="31"/>
      <c r="H838" s="31"/>
    </row>
    <row r="839" spans="3:8" ht="14.25" x14ac:dyDescent="0.2">
      <c r="C839" s="31"/>
      <c r="H839" s="31"/>
    </row>
    <row r="840" spans="3:8" ht="14.25" x14ac:dyDescent="0.2">
      <c r="C840" s="31"/>
      <c r="H840" s="31"/>
    </row>
    <row r="841" spans="3:8" ht="14.25" x14ac:dyDescent="0.2">
      <c r="C841" s="31"/>
      <c r="H841" s="31"/>
    </row>
    <row r="842" spans="3:8" ht="14.25" x14ac:dyDescent="0.2">
      <c r="C842" s="31"/>
      <c r="H842" s="31"/>
    </row>
    <row r="843" spans="3:8" ht="14.25" x14ac:dyDescent="0.2">
      <c r="C843" s="31"/>
      <c r="H843" s="31"/>
    </row>
    <row r="844" spans="3:8" ht="14.25" x14ac:dyDescent="0.2">
      <c r="C844" s="31"/>
      <c r="H844" s="31"/>
    </row>
    <row r="845" spans="3:8" ht="14.25" x14ac:dyDescent="0.2">
      <c r="C845" s="31"/>
      <c r="H845" s="31"/>
    </row>
    <row r="846" spans="3:8" ht="14.25" x14ac:dyDescent="0.2">
      <c r="C846" s="31"/>
      <c r="H846" s="31"/>
    </row>
    <row r="847" spans="3:8" ht="14.25" x14ac:dyDescent="0.2">
      <c r="C847" s="31"/>
      <c r="H847" s="31"/>
    </row>
    <row r="848" spans="3:8" ht="14.25" x14ac:dyDescent="0.2">
      <c r="C848" s="31"/>
      <c r="H848" s="31"/>
    </row>
    <row r="849" spans="3:8" ht="14.25" x14ac:dyDescent="0.2">
      <c r="C849" s="31"/>
      <c r="H849" s="31"/>
    </row>
    <row r="850" spans="3:8" ht="14.25" x14ac:dyDescent="0.2">
      <c r="C850" s="31"/>
      <c r="H850" s="31"/>
    </row>
    <row r="851" spans="3:8" ht="14.25" x14ac:dyDescent="0.2">
      <c r="C851" s="31"/>
      <c r="H851" s="31"/>
    </row>
    <row r="852" spans="3:8" ht="14.25" x14ac:dyDescent="0.2">
      <c r="C852" s="31"/>
      <c r="H852" s="31"/>
    </row>
    <row r="853" spans="3:8" ht="14.25" x14ac:dyDescent="0.2">
      <c r="C853" s="31"/>
      <c r="H853" s="31"/>
    </row>
    <row r="854" spans="3:8" ht="14.25" x14ac:dyDescent="0.2">
      <c r="C854" s="31"/>
      <c r="H854" s="31"/>
    </row>
    <row r="855" spans="3:8" ht="14.25" x14ac:dyDescent="0.2">
      <c r="C855" s="31"/>
      <c r="H855" s="31"/>
    </row>
    <row r="856" spans="3:8" ht="14.25" x14ac:dyDescent="0.2">
      <c r="C856" s="31"/>
      <c r="H856" s="31"/>
    </row>
    <row r="857" spans="3:8" ht="14.25" x14ac:dyDescent="0.2">
      <c r="C857" s="31"/>
      <c r="H857" s="31"/>
    </row>
    <row r="858" spans="3:8" ht="14.25" x14ac:dyDescent="0.2">
      <c r="C858" s="31"/>
      <c r="H858" s="31"/>
    </row>
    <row r="859" spans="3:8" ht="14.25" x14ac:dyDescent="0.2">
      <c r="C859" s="31"/>
      <c r="H859" s="31"/>
    </row>
    <row r="860" spans="3:8" ht="14.25" x14ac:dyDescent="0.2">
      <c r="C860" s="31"/>
      <c r="H860" s="31"/>
    </row>
    <row r="861" spans="3:8" ht="14.25" x14ac:dyDescent="0.2">
      <c r="C861" s="31"/>
      <c r="H861" s="31"/>
    </row>
    <row r="862" spans="3:8" ht="14.25" x14ac:dyDescent="0.2">
      <c r="C862" s="31"/>
      <c r="H862" s="31"/>
    </row>
    <row r="863" spans="3:8" ht="14.25" x14ac:dyDescent="0.2">
      <c r="C863" s="31"/>
      <c r="H863" s="31"/>
    </row>
    <row r="864" spans="3:8" ht="14.25" x14ac:dyDescent="0.2">
      <c r="C864" s="31"/>
      <c r="H864" s="31"/>
    </row>
    <row r="865" spans="3:8" ht="14.25" x14ac:dyDescent="0.2">
      <c r="C865" s="31"/>
      <c r="H865" s="31"/>
    </row>
    <row r="866" spans="3:8" ht="14.25" x14ac:dyDescent="0.2">
      <c r="C866" s="31"/>
      <c r="H866" s="31"/>
    </row>
    <row r="867" spans="3:8" ht="14.25" x14ac:dyDescent="0.2">
      <c r="C867" s="31"/>
      <c r="H867" s="31"/>
    </row>
    <row r="868" spans="3:8" ht="14.25" x14ac:dyDescent="0.2">
      <c r="C868" s="31"/>
      <c r="H868" s="31"/>
    </row>
    <row r="869" spans="3:8" ht="14.25" x14ac:dyDescent="0.2">
      <c r="C869" s="31"/>
      <c r="H869" s="31"/>
    </row>
    <row r="870" spans="3:8" ht="14.25" x14ac:dyDescent="0.2">
      <c r="C870" s="31"/>
      <c r="H870" s="31"/>
    </row>
    <row r="871" spans="3:8" ht="14.25" x14ac:dyDescent="0.2">
      <c r="C871" s="31"/>
      <c r="H871" s="31"/>
    </row>
    <row r="872" spans="3:8" ht="14.25" x14ac:dyDescent="0.2">
      <c r="C872" s="31"/>
      <c r="H872" s="31"/>
    </row>
    <row r="873" spans="3:8" ht="14.25" x14ac:dyDescent="0.2">
      <c r="C873" s="31"/>
      <c r="H873" s="31"/>
    </row>
    <row r="874" spans="3:8" ht="14.25" x14ac:dyDescent="0.2">
      <c r="C874" s="31"/>
      <c r="H874" s="31"/>
    </row>
    <row r="875" spans="3:8" ht="14.25" x14ac:dyDescent="0.2">
      <c r="C875" s="31"/>
      <c r="H875" s="31"/>
    </row>
    <row r="876" spans="3:8" ht="14.25" x14ac:dyDescent="0.2">
      <c r="C876" s="31"/>
      <c r="H876" s="31"/>
    </row>
    <row r="877" spans="3:8" ht="14.25" x14ac:dyDescent="0.2">
      <c r="C877" s="31"/>
      <c r="H877" s="31"/>
    </row>
    <row r="878" spans="3:8" ht="14.25" x14ac:dyDescent="0.2">
      <c r="C878" s="31"/>
      <c r="H878" s="31"/>
    </row>
    <row r="879" spans="3:8" ht="14.25" x14ac:dyDescent="0.2">
      <c r="C879" s="31"/>
      <c r="H879" s="31"/>
    </row>
    <row r="880" spans="3:8" ht="14.25" x14ac:dyDescent="0.2">
      <c r="C880" s="31"/>
      <c r="H880" s="31"/>
    </row>
    <row r="881" spans="3:8" ht="14.25" x14ac:dyDescent="0.2">
      <c r="C881" s="31"/>
      <c r="H881" s="31"/>
    </row>
    <row r="882" spans="3:8" ht="14.25" x14ac:dyDescent="0.2">
      <c r="C882" s="31"/>
      <c r="H882" s="31"/>
    </row>
    <row r="883" spans="3:8" ht="14.25" x14ac:dyDescent="0.2">
      <c r="C883" s="31"/>
      <c r="H883" s="31"/>
    </row>
    <row r="884" spans="3:8" ht="14.25" x14ac:dyDescent="0.2">
      <c r="C884" s="31"/>
      <c r="H884" s="31"/>
    </row>
    <row r="885" spans="3:8" ht="14.25" x14ac:dyDescent="0.2">
      <c r="C885" s="31"/>
      <c r="H885" s="31"/>
    </row>
    <row r="886" spans="3:8" ht="14.25" x14ac:dyDescent="0.2">
      <c r="C886" s="31"/>
      <c r="H886" s="31"/>
    </row>
    <row r="887" spans="3:8" ht="14.25" x14ac:dyDescent="0.2">
      <c r="C887" s="31"/>
      <c r="H887" s="31"/>
    </row>
    <row r="888" spans="3:8" ht="14.25" x14ac:dyDescent="0.2">
      <c r="C888" s="31"/>
      <c r="H888" s="31"/>
    </row>
    <row r="889" spans="3:8" ht="14.25" x14ac:dyDescent="0.2">
      <c r="C889" s="31"/>
      <c r="H889" s="31"/>
    </row>
    <row r="890" spans="3:8" ht="14.25" x14ac:dyDescent="0.2">
      <c r="C890" s="31"/>
      <c r="H890" s="31"/>
    </row>
    <row r="891" spans="3:8" ht="14.25" x14ac:dyDescent="0.2">
      <c r="C891" s="31"/>
      <c r="H891" s="31"/>
    </row>
    <row r="892" spans="3:8" ht="14.25" x14ac:dyDescent="0.2">
      <c r="C892" s="31"/>
      <c r="H892" s="31"/>
    </row>
    <row r="893" spans="3:8" ht="14.25" x14ac:dyDescent="0.2">
      <c r="C893" s="31"/>
      <c r="H893" s="31"/>
    </row>
    <row r="894" spans="3:8" ht="14.25" x14ac:dyDescent="0.2">
      <c r="C894" s="31"/>
      <c r="H894" s="31"/>
    </row>
    <row r="895" spans="3:8" ht="14.25" x14ac:dyDescent="0.2">
      <c r="C895" s="31"/>
      <c r="H895" s="31"/>
    </row>
    <row r="896" spans="3:8" ht="14.25" x14ac:dyDescent="0.2">
      <c r="C896" s="31"/>
      <c r="H896" s="31"/>
    </row>
    <row r="897" spans="3:8" ht="14.25" x14ac:dyDescent="0.2">
      <c r="C897" s="31"/>
      <c r="H897" s="31"/>
    </row>
    <row r="898" spans="3:8" ht="14.25" x14ac:dyDescent="0.2">
      <c r="C898" s="31"/>
      <c r="H898" s="31"/>
    </row>
    <row r="899" spans="3:8" ht="14.25" x14ac:dyDescent="0.2">
      <c r="C899" s="31"/>
      <c r="H899" s="31"/>
    </row>
    <row r="900" spans="3:8" ht="14.25" x14ac:dyDescent="0.2">
      <c r="C900" s="31"/>
      <c r="H900" s="31"/>
    </row>
    <row r="901" spans="3:8" ht="14.25" x14ac:dyDescent="0.2">
      <c r="C901" s="31"/>
      <c r="H901" s="31"/>
    </row>
    <row r="902" spans="3:8" ht="14.25" x14ac:dyDescent="0.2">
      <c r="C902" s="31"/>
      <c r="H902" s="31"/>
    </row>
    <row r="903" spans="3:8" ht="14.25" x14ac:dyDescent="0.2">
      <c r="C903" s="31"/>
      <c r="H903" s="31"/>
    </row>
    <row r="904" spans="3:8" ht="14.25" x14ac:dyDescent="0.2">
      <c r="C904" s="31"/>
      <c r="H904" s="31"/>
    </row>
    <row r="905" spans="3:8" ht="14.25" x14ac:dyDescent="0.2">
      <c r="C905" s="31"/>
      <c r="H905" s="31"/>
    </row>
    <row r="906" spans="3:8" ht="14.25" x14ac:dyDescent="0.2">
      <c r="C906" s="31"/>
      <c r="H906" s="31"/>
    </row>
    <row r="907" spans="3:8" ht="14.25" x14ac:dyDescent="0.2">
      <c r="C907" s="31"/>
      <c r="H907" s="31"/>
    </row>
    <row r="908" spans="3:8" ht="14.25" x14ac:dyDescent="0.2">
      <c r="C908" s="31"/>
      <c r="H908" s="31"/>
    </row>
    <row r="909" spans="3:8" ht="14.25" x14ac:dyDescent="0.2">
      <c r="C909" s="31"/>
      <c r="H909" s="31"/>
    </row>
    <row r="910" spans="3:8" ht="14.25" x14ac:dyDescent="0.2">
      <c r="C910" s="31"/>
      <c r="H910" s="31"/>
    </row>
    <row r="911" spans="3:8" ht="14.25" x14ac:dyDescent="0.2">
      <c r="C911" s="31"/>
      <c r="H911" s="31"/>
    </row>
    <row r="912" spans="3:8" ht="14.25" x14ac:dyDescent="0.2">
      <c r="C912" s="31"/>
      <c r="H912" s="31"/>
    </row>
    <row r="913" spans="3:8" ht="14.25" x14ac:dyDescent="0.2">
      <c r="C913" s="31"/>
      <c r="H913" s="31"/>
    </row>
    <row r="914" spans="3:8" ht="14.25" x14ac:dyDescent="0.2">
      <c r="C914" s="31"/>
      <c r="H914" s="31"/>
    </row>
    <row r="915" spans="3:8" ht="14.25" x14ac:dyDescent="0.2">
      <c r="C915" s="31"/>
      <c r="H915" s="31"/>
    </row>
    <row r="916" spans="3:8" ht="14.25" x14ac:dyDescent="0.2">
      <c r="C916" s="31"/>
      <c r="H916" s="31"/>
    </row>
    <row r="917" spans="3:8" ht="14.25" x14ac:dyDescent="0.2">
      <c r="C917" s="31"/>
      <c r="H917" s="31"/>
    </row>
    <row r="918" spans="3:8" ht="14.25" x14ac:dyDescent="0.2">
      <c r="C918" s="31"/>
      <c r="H918" s="31"/>
    </row>
    <row r="919" spans="3:8" ht="14.25" x14ac:dyDescent="0.2">
      <c r="C919" s="31"/>
      <c r="H919" s="31"/>
    </row>
    <row r="920" spans="3:8" ht="14.25" x14ac:dyDescent="0.2">
      <c r="C920" s="31"/>
      <c r="H920" s="31"/>
    </row>
    <row r="921" spans="3:8" ht="14.25" x14ac:dyDescent="0.2">
      <c r="C921" s="31"/>
      <c r="H921" s="31"/>
    </row>
    <row r="922" spans="3:8" ht="14.25" x14ac:dyDescent="0.2">
      <c r="C922" s="31"/>
      <c r="H922" s="31"/>
    </row>
    <row r="923" spans="3:8" ht="14.25" x14ac:dyDescent="0.2">
      <c r="C923" s="31"/>
      <c r="H923" s="31"/>
    </row>
    <row r="924" spans="3:8" ht="14.25" x14ac:dyDescent="0.2">
      <c r="C924" s="31"/>
      <c r="H924" s="31"/>
    </row>
    <row r="925" spans="3:8" ht="14.25" x14ac:dyDescent="0.2">
      <c r="C925" s="31"/>
      <c r="H925" s="31"/>
    </row>
    <row r="926" spans="3:8" ht="14.25" x14ac:dyDescent="0.2">
      <c r="C926" s="31"/>
      <c r="H926" s="31"/>
    </row>
    <row r="927" spans="3:8" ht="14.25" x14ac:dyDescent="0.2">
      <c r="C927" s="31"/>
      <c r="H927" s="31"/>
    </row>
    <row r="928" spans="3:8" ht="14.25" x14ac:dyDescent="0.2">
      <c r="C928" s="31"/>
      <c r="H928" s="31"/>
    </row>
    <row r="929" spans="3:8" ht="14.25" x14ac:dyDescent="0.2">
      <c r="C929" s="31"/>
      <c r="H929" s="31"/>
    </row>
    <row r="930" spans="3:8" ht="14.25" x14ac:dyDescent="0.2">
      <c r="C930" s="31"/>
      <c r="H930" s="31"/>
    </row>
    <row r="931" spans="3:8" ht="14.25" x14ac:dyDescent="0.2">
      <c r="C931" s="31"/>
      <c r="H931" s="31"/>
    </row>
    <row r="932" spans="3:8" ht="14.25" x14ac:dyDescent="0.2">
      <c r="C932" s="31"/>
      <c r="H932" s="31"/>
    </row>
    <row r="933" spans="3:8" ht="14.25" x14ac:dyDescent="0.2">
      <c r="C933" s="31"/>
      <c r="H933" s="31"/>
    </row>
    <row r="934" spans="3:8" ht="14.25" x14ac:dyDescent="0.2">
      <c r="C934" s="31"/>
      <c r="H934" s="31"/>
    </row>
    <row r="935" spans="3:8" ht="14.25" x14ac:dyDescent="0.2">
      <c r="C935" s="31"/>
      <c r="H935" s="31"/>
    </row>
    <row r="936" spans="3:8" ht="14.25" x14ac:dyDescent="0.2">
      <c r="C936" s="31"/>
      <c r="H936" s="31"/>
    </row>
    <row r="937" spans="3:8" ht="14.25" x14ac:dyDescent="0.2">
      <c r="C937" s="31"/>
      <c r="H937" s="31"/>
    </row>
    <row r="938" spans="3:8" ht="14.25" x14ac:dyDescent="0.2">
      <c r="C938" s="31"/>
      <c r="H938" s="31"/>
    </row>
    <row r="939" spans="3:8" ht="14.25" x14ac:dyDescent="0.2">
      <c r="C939" s="31"/>
      <c r="H939" s="31"/>
    </row>
    <row r="940" spans="3:8" ht="14.25" x14ac:dyDescent="0.2">
      <c r="C940" s="31"/>
      <c r="H940" s="31"/>
    </row>
    <row r="941" spans="3:8" ht="14.25" x14ac:dyDescent="0.2">
      <c r="C941" s="31"/>
      <c r="H941" s="31"/>
    </row>
    <row r="942" spans="3:8" ht="14.25" x14ac:dyDescent="0.2">
      <c r="C942" s="31"/>
      <c r="H942" s="31"/>
    </row>
    <row r="943" spans="3:8" ht="14.25" x14ac:dyDescent="0.2">
      <c r="C943" s="31"/>
      <c r="H943" s="31"/>
    </row>
    <row r="944" spans="3:8" ht="14.25" x14ac:dyDescent="0.2">
      <c r="C944" s="31"/>
      <c r="H944" s="31"/>
    </row>
    <row r="945" spans="3:8" ht="14.25" x14ac:dyDescent="0.2">
      <c r="C945" s="31"/>
      <c r="H945" s="31"/>
    </row>
    <row r="946" spans="3:8" ht="14.25" x14ac:dyDescent="0.2">
      <c r="C946" s="31"/>
      <c r="H946" s="31"/>
    </row>
    <row r="947" spans="3:8" ht="14.25" x14ac:dyDescent="0.2">
      <c r="C947" s="31"/>
      <c r="H947" s="31"/>
    </row>
    <row r="948" spans="3:8" ht="14.25" x14ac:dyDescent="0.2">
      <c r="C948" s="31"/>
      <c r="H948" s="31"/>
    </row>
    <row r="949" spans="3:8" ht="14.25" x14ac:dyDescent="0.2">
      <c r="C949" s="31"/>
      <c r="H949" s="31"/>
    </row>
    <row r="950" spans="3:8" ht="14.25" x14ac:dyDescent="0.2">
      <c r="C950" s="31"/>
      <c r="H950" s="31"/>
    </row>
    <row r="951" spans="3:8" ht="14.25" x14ac:dyDescent="0.2">
      <c r="C951" s="31"/>
      <c r="H951" s="31"/>
    </row>
    <row r="952" spans="3:8" ht="14.25" x14ac:dyDescent="0.2">
      <c r="C952" s="31"/>
      <c r="H952" s="31"/>
    </row>
    <row r="953" spans="3:8" ht="14.25" x14ac:dyDescent="0.2">
      <c r="C953" s="31"/>
      <c r="H953" s="31"/>
    </row>
    <row r="954" spans="3:8" ht="14.25" x14ac:dyDescent="0.2">
      <c r="C954" s="31"/>
      <c r="H954" s="31"/>
    </row>
    <row r="955" spans="3:8" ht="14.25" x14ac:dyDescent="0.2">
      <c r="C955" s="31"/>
      <c r="H955" s="31"/>
    </row>
    <row r="956" spans="3:8" ht="14.25" x14ac:dyDescent="0.2">
      <c r="C956" s="31"/>
      <c r="H956" s="31"/>
    </row>
    <row r="957" spans="3:8" ht="14.25" x14ac:dyDescent="0.2">
      <c r="C957" s="31"/>
      <c r="H957" s="31"/>
    </row>
    <row r="958" spans="3:8" ht="14.25" x14ac:dyDescent="0.2">
      <c r="C958" s="31"/>
      <c r="H958" s="31"/>
    </row>
    <row r="959" spans="3:8" ht="14.25" x14ac:dyDescent="0.2">
      <c r="C959" s="31"/>
      <c r="H959" s="31"/>
    </row>
    <row r="960" spans="3:8" ht="14.25" x14ac:dyDescent="0.2">
      <c r="C960" s="31"/>
      <c r="H960" s="31"/>
    </row>
    <row r="961" spans="3:8" ht="14.25" x14ac:dyDescent="0.2">
      <c r="C961" s="31"/>
      <c r="H961" s="31"/>
    </row>
    <row r="962" spans="3:8" ht="14.25" x14ac:dyDescent="0.2">
      <c r="C962" s="31"/>
      <c r="H962" s="31"/>
    </row>
    <row r="963" spans="3:8" ht="14.25" x14ac:dyDescent="0.2">
      <c r="C963" s="31"/>
      <c r="H963" s="31"/>
    </row>
    <row r="964" spans="3:8" ht="14.25" x14ac:dyDescent="0.2">
      <c r="C964" s="31"/>
      <c r="H964" s="31"/>
    </row>
    <row r="965" spans="3:8" ht="14.25" x14ac:dyDescent="0.2">
      <c r="C965" s="31"/>
      <c r="H965" s="31"/>
    </row>
    <row r="966" spans="3:8" ht="14.25" x14ac:dyDescent="0.2">
      <c r="C966" s="31"/>
      <c r="H966" s="31"/>
    </row>
    <row r="967" spans="3:8" ht="14.25" x14ac:dyDescent="0.2">
      <c r="C967" s="31"/>
      <c r="H967" s="31"/>
    </row>
    <row r="968" spans="3:8" ht="14.25" x14ac:dyDescent="0.2">
      <c r="C968" s="31"/>
      <c r="H968" s="31"/>
    </row>
    <row r="969" spans="3:8" ht="14.25" x14ac:dyDescent="0.2">
      <c r="C969" s="31"/>
      <c r="H969" s="31"/>
    </row>
    <row r="970" spans="3:8" ht="14.25" x14ac:dyDescent="0.2">
      <c r="C970" s="31"/>
      <c r="H970" s="31"/>
    </row>
    <row r="971" spans="3:8" ht="14.25" x14ac:dyDescent="0.2">
      <c r="C971" s="31"/>
      <c r="H971" s="31"/>
    </row>
    <row r="972" spans="3:8" ht="14.25" x14ac:dyDescent="0.2">
      <c r="C972" s="31"/>
      <c r="H972" s="31"/>
    </row>
    <row r="973" spans="3:8" ht="14.25" x14ac:dyDescent="0.2">
      <c r="C973" s="31"/>
      <c r="H973" s="31"/>
    </row>
    <row r="974" spans="3:8" ht="14.25" x14ac:dyDescent="0.2">
      <c r="C974" s="31"/>
      <c r="H974" s="31"/>
    </row>
    <row r="975" spans="3:8" ht="14.25" x14ac:dyDescent="0.2">
      <c r="C975" s="31"/>
      <c r="H975" s="31"/>
    </row>
    <row r="976" spans="3:8" ht="14.25" x14ac:dyDescent="0.2">
      <c r="C976" s="31"/>
      <c r="H976" s="31"/>
    </row>
    <row r="977" spans="3:8" ht="14.25" x14ac:dyDescent="0.2">
      <c r="C977" s="31"/>
      <c r="H977" s="31"/>
    </row>
    <row r="978" spans="3:8" ht="14.25" x14ac:dyDescent="0.2">
      <c r="C978" s="31"/>
      <c r="H978" s="31"/>
    </row>
    <row r="979" spans="3:8" ht="14.25" x14ac:dyDescent="0.2">
      <c r="C979" s="31"/>
      <c r="H979" s="31"/>
    </row>
    <row r="980" spans="3:8" ht="14.25" x14ac:dyDescent="0.2">
      <c r="C980" s="31"/>
      <c r="H980" s="31"/>
    </row>
    <row r="981" spans="3:8" ht="14.25" x14ac:dyDescent="0.2">
      <c r="C981" s="31"/>
      <c r="H981" s="31"/>
    </row>
    <row r="982" spans="3:8" ht="14.25" x14ac:dyDescent="0.2">
      <c r="C982" s="31"/>
      <c r="H982" s="31"/>
    </row>
    <row r="983" spans="3:8" ht="14.25" x14ac:dyDescent="0.2">
      <c r="C983" s="31"/>
      <c r="H983" s="31"/>
    </row>
    <row r="984" spans="3:8" ht="14.25" x14ac:dyDescent="0.2">
      <c r="C984" s="31"/>
      <c r="H984" s="31"/>
    </row>
    <row r="985" spans="3:8" ht="14.25" x14ac:dyDescent="0.2">
      <c r="C985" s="31"/>
      <c r="H985" s="31"/>
    </row>
    <row r="986" spans="3:8" ht="14.25" x14ac:dyDescent="0.2">
      <c r="C986" s="31"/>
      <c r="H986" s="31"/>
    </row>
    <row r="987" spans="3:8" ht="14.25" x14ac:dyDescent="0.2">
      <c r="C987" s="31"/>
      <c r="H987" s="31"/>
    </row>
    <row r="988" spans="3:8" ht="14.25" x14ac:dyDescent="0.2">
      <c r="C988" s="31"/>
      <c r="H988" s="31"/>
    </row>
    <row r="989" spans="3:8" ht="14.25" x14ac:dyDescent="0.2">
      <c r="C989" s="31"/>
      <c r="H989" s="31"/>
    </row>
    <row r="990" spans="3:8" ht="14.25" x14ac:dyDescent="0.2">
      <c r="C990" s="31"/>
      <c r="H990" s="31"/>
    </row>
    <row r="991" spans="3:8" ht="14.25" x14ac:dyDescent="0.2">
      <c r="C991" s="31"/>
      <c r="H991" s="31"/>
    </row>
    <row r="992" spans="3:8" ht="14.25" x14ac:dyDescent="0.2">
      <c r="C992" s="31"/>
      <c r="H992" s="31"/>
    </row>
    <row r="993" spans="3:8" ht="14.25" x14ac:dyDescent="0.2">
      <c r="C993" s="31"/>
      <c r="H993" s="31"/>
    </row>
    <row r="994" spans="3:8" ht="14.25" x14ac:dyDescent="0.2">
      <c r="C994" s="31"/>
      <c r="H994" s="31"/>
    </row>
    <row r="995" spans="3:8" ht="14.25" x14ac:dyDescent="0.2">
      <c r="C995" s="31"/>
      <c r="H995" s="31"/>
    </row>
    <row r="996" spans="3:8" ht="14.25" x14ac:dyDescent="0.2">
      <c r="C996" s="31"/>
      <c r="H996" s="31"/>
    </row>
    <row r="997" spans="3:8" ht="14.25" x14ac:dyDescent="0.2">
      <c r="C997" s="31"/>
      <c r="H997" s="31"/>
    </row>
    <row r="998" spans="3:8" ht="14.25" x14ac:dyDescent="0.2">
      <c r="C998" s="31"/>
      <c r="H998" s="31"/>
    </row>
    <row r="999" spans="3:8" ht="14.25" x14ac:dyDescent="0.2">
      <c r="C999" s="31"/>
      <c r="H999" s="31"/>
    </row>
    <row r="1000" spans="3:8" ht="14.25" x14ac:dyDescent="0.2">
      <c r="C1000" s="31"/>
      <c r="H1000" s="31"/>
    </row>
  </sheetData>
  <mergeCells count="1">
    <mergeCell ref="A1:K1"/>
  </mergeCells>
  <conditionalFormatting sqref="I4:I50">
    <cfRule type="expression" dxfId="0" priority="2">
      <formula>I4="Vencido"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300-000000000000}">
          <x14:formula1>
            <xm:f>LISTAS!$B$104:$B$106</xm:f>
          </x14:formula1>
          <x14:formula2>
            <xm:f>0</xm:f>
          </x14:formula2>
          <xm:sqref>H3 H13:H1000</xm:sqref>
        </x14:dataValidation>
        <x14:dataValidation type="list" allowBlank="1" showErrorMessage="1" xr:uid="{00000000-0002-0000-0300-000001000000}">
          <x14:formula1>
            <xm:f>LISTAS!$B$99:$B$101</xm:f>
          </x14:formula1>
          <x14:formula2>
            <xm:f>0</xm:f>
          </x14:formula2>
          <xm:sqref>C3:C1000</xm:sqref>
        </x14:dataValidation>
        <x14:dataValidation type="list" xr:uid="{00000000-0002-0000-0300-000002000000}">
          <x14:formula1>
            <xm:f>LISTAS!$H$4:$H$7</xm:f>
          </x14:formula1>
          <x14:formula2>
            <xm:f>0</xm:f>
          </x14:formula2>
          <xm:sqref>H4:H12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"/>
  <sheetViews>
    <sheetView zoomScaleNormal="100" workbookViewId="0">
      <selection sqref="A1:H1"/>
    </sheetView>
  </sheetViews>
  <sheetFormatPr baseColWidth="10" defaultColWidth="12.5703125" defaultRowHeight="12.75" x14ac:dyDescent="0.2"/>
  <cols>
    <col min="2" max="2" width="14" style="4" customWidth="1"/>
    <col min="3" max="3" width="12" style="4" customWidth="1"/>
    <col min="4" max="4" width="16" style="4" customWidth="1"/>
    <col min="5" max="5" width="12" style="4" customWidth="1"/>
    <col min="6" max="6" width="20" style="4" customWidth="1"/>
    <col min="7" max="7" width="16" style="4" customWidth="1"/>
    <col min="8" max="8" width="35" style="4" customWidth="1"/>
  </cols>
  <sheetData>
    <row r="1" spans="1:10" ht="27.75" customHeight="1" x14ac:dyDescent="0.2">
      <c r="A1" s="1" t="s">
        <v>108</v>
      </c>
      <c r="B1" s="1"/>
      <c r="C1" s="1"/>
      <c r="D1" s="1"/>
      <c r="E1" s="1"/>
      <c r="F1" s="1"/>
      <c r="G1" s="1"/>
      <c r="H1" s="1"/>
      <c r="I1" s="25"/>
      <c r="J1" s="25"/>
    </row>
    <row r="3" spans="1:10" x14ac:dyDescent="0.2">
      <c r="B3" s="54" t="s">
        <v>27</v>
      </c>
      <c r="C3" s="54" t="s">
        <v>109</v>
      </c>
      <c r="D3" s="54" t="s">
        <v>110</v>
      </c>
      <c r="E3" s="54" t="s">
        <v>111</v>
      </c>
      <c r="F3" s="54" t="s">
        <v>112</v>
      </c>
      <c r="G3" s="54" t="s">
        <v>113</v>
      </c>
      <c r="H3" s="54" t="s">
        <v>114</v>
      </c>
    </row>
    <row r="4" spans="1:10" x14ac:dyDescent="0.2">
      <c r="B4" s="35"/>
      <c r="H4" s="36"/>
    </row>
    <row r="5" spans="1:10" x14ac:dyDescent="0.2">
      <c r="B5" s="35"/>
      <c r="H5" s="36"/>
    </row>
    <row r="6" spans="1:10" x14ac:dyDescent="0.2">
      <c r="B6" s="35"/>
      <c r="H6" s="36"/>
    </row>
    <row r="7" spans="1:10" x14ac:dyDescent="0.2">
      <c r="B7" s="35"/>
      <c r="H7" s="36"/>
    </row>
    <row r="8" spans="1:10" x14ac:dyDescent="0.2">
      <c r="B8" s="35"/>
      <c r="H8" s="36"/>
    </row>
    <row r="9" spans="1:10" x14ac:dyDescent="0.2">
      <c r="B9" s="35"/>
      <c r="H9" s="36"/>
    </row>
    <row r="10" spans="1:10" x14ac:dyDescent="0.2">
      <c r="B10" s="35"/>
      <c r="H10" s="36"/>
    </row>
    <row r="11" spans="1:10" x14ac:dyDescent="0.2">
      <c r="B11" s="35"/>
      <c r="H11" s="36"/>
    </row>
    <row r="12" spans="1:10" x14ac:dyDescent="0.2">
      <c r="B12" s="35"/>
      <c r="H12" s="36"/>
    </row>
    <row r="13" spans="1:10" x14ac:dyDescent="0.2">
      <c r="B13" s="35"/>
      <c r="H13" s="36"/>
    </row>
    <row r="14" spans="1:10" x14ac:dyDescent="0.2">
      <c r="B14" s="35"/>
      <c r="H14" s="36"/>
    </row>
    <row r="15" spans="1:10" x14ac:dyDescent="0.2">
      <c r="B15" s="35"/>
      <c r="H15" s="36"/>
    </row>
    <row r="16" spans="1:10" x14ac:dyDescent="0.2">
      <c r="B16" s="35"/>
      <c r="H16" s="36"/>
    </row>
    <row r="17" spans="2:8" x14ac:dyDescent="0.2">
      <c r="B17" s="35"/>
      <c r="H17" s="36"/>
    </row>
    <row r="18" spans="2:8" x14ac:dyDescent="0.2">
      <c r="B18" s="35"/>
      <c r="H18" s="36"/>
    </row>
    <row r="19" spans="2:8" x14ac:dyDescent="0.2">
      <c r="B19" s="35"/>
      <c r="H19" s="36"/>
    </row>
    <row r="20" spans="2:8" x14ac:dyDescent="0.2">
      <c r="B20" s="35"/>
      <c r="H20" s="36"/>
    </row>
    <row r="21" spans="2:8" x14ac:dyDescent="0.2">
      <c r="B21" s="35"/>
      <c r="H21" s="36"/>
    </row>
    <row r="22" spans="2:8" x14ac:dyDescent="0.2">
      <c r="B22" s="35"/>
      <c r="H22" s="36"/>
    </row>
    <row r="23" spans="2:8" x14ac:dyDescent="0.2">
      <c r="B23" s="35"/>
      <c r="H23" s="36"/>
    </row>
    <row r="24" spans="2:8" x14ac:dyDescent="0.2">
      <c r="B24" s="35"/>
      <c r="H24" s="36"/>
    </row>
    <row r="25" spans="2:8" x14ac:dyDescent="0.2">
      <c r="B25" s="35"/>
      <c r="H25" s="36"/>
    </row>
    <row r="26" spans="2:8" x14ac:dyDescent="0.2">
      <c r="B26" s="35"/>
      <c r="H26" s="36"/>
    </row>
    <row r="27" spans="2:8" x14ac:dyDescent="0.2">
      <c r="B27" s="35"/>
      <c r="H27" s="36"/>
    </row>
    <row r="28" spans="2:8" x14ac:dyDescent="0.2">
      <c r="B28" s="35"/>
      <c r="H28" s="36"/>
    </row>
    <row r="29" spans="2:8" x14ac:dyDescent="0.2">
      <c r="B29" s="35"/>
      <c r="H29" s="36"/>
    </row>
    <row r="30" spans="2:8" x14ac:dyDescent="0.2">
      <c r="B30" s="35"/>
      <c r="H30" s="36"/>
    </row>
    <row r="31" spans="2:8" x14ac:dyDescent="0.2">
      <c r="B31" s="35"/>
      <c r="H31" s="36"/>
    </row>
    <row r="32" spans="2:8" x14ac:dyDescent="0.2">
      <c r="B32" s="35"/>
      <c r="H32" s="36"/>
    </row>
    <row r="33" spans="2:8" x14ac:dyDescent="0.2">
      <c r="B33" s="35"/>
      <c r="H33" s="36"/>
    </row>
    <row r="34" spans="2:8" x14ac:dyDescent="0.2">
      <c r="B34" s="35"/>
      <c r="H34" s="36"/>
    </row>
    <row r="35" spans="2:8" x14ac:dyDescent="0.2">
      <c r="B35" s="35"/>
      <c r="H35" s="36"/>
    </row>
    <row r="36" spans="2:8" x14ac:dyDescent="0.2">
      <c r="B36" s="35"/>
      <c r="H36" s="36"/>
    </row>
    <row r="37" spans="2:8" x14ac:dyDescent="0.2">
      <c r="B37" s="35"/>
      <c r="H37" s="36"/>
    </row>
    <row r="38" spans="2:8" x14ac:dyDescent="0.2">
      <c r="B38" s="35"/>
      <c r="H38" s="36"/>
    </row>
    <row r="39" spans="2:8" x14ac:dyDescent="0.2">
      <c r="B39" s="35"/>
      <c r="H39" s="36"/>
    </row>
    <row r="40" spans="2:8" x14ac:dyDescent="0.2">
      <c r="B40" s="35"/>
      <c r="H40" s="36"/>
    </row>
    <row r="41" spans="2:8" x14ac:dyDescent="0.2">
      <c r="B41" s="35"/>
      <c r="H41" s="36"/>
    </row>
    <row r="42" spans="2:8" x14ac:dyDescent="0.2">
      <c r="B42" s="35"/>
      <c r="H42" s="36"/>
    </row>
    <row r="43" spans="2:8" x14ac:dyDescent="0.2">
      <c r="B43" s="35"/>
      <c r="H43" s="36"/>
    </row>
    <row r="44" spans="2:8" x14ac:dyDescent="0.2">
      <c r="B44" s="35"/>
      <c r="H44" s="36"/>
    </row>
    <row r="45" spans="2:8" x14ac:dyDescent="0.2">
      <c r="B45" s="35"/>
      <c r="H45" s="36"/>
    </row>
    <row r="46" spans="2:8" x14ac:dyDescent="0.2">
      <c r="B46" s="35"/>
      <c r="H46" s="36"/>
    </row>
    <row r="47" spans="2:8" x14ac:dyDescent="0.2">
      <c r="B47" s="35"/>
      <c r="H47" s="36"/>
    </row>
    <row r="48" spans="2:8" x14ac:dyDescent="0.2">
      <c r="B48" s="35"/>
      <c r="H48" s="36"/>
    </row>
    <row r="49" spans="2:8" x14ac:dyDescent="0.2">
      <c r="B49" s="35"/>
      <c r="H49" s="36"/>
    </row>
    <row r="50" spans="2:8" x14ac:dyDescent="0.2">
      <c r="B50" s="35"/>
      <c r="H50" s="36"/>
    </row>
    <row r="51" spans="2:8" x14ac:dyDescent="0.2">
      <c r="B51" s="35"/>
      <c r="H51" s="36"/>
    </row>
    <row r="52" spans="2:8" x14ac:dyDescent="0.2">
      <c r="B52" s="35"/>
      <c r="H52" s="36"/>
    </row>
    <row r="53" spans="2:8" x14ac:dyDescent="0.2">
      <c r="B53" s="35"/>
      <c r="H53" s="36"/>
    </row>
    <row r="54" spans="2:8" x14ac:dyDescent="0.2">
      <c r="B54" s="35"/>
      <c r="H54" s="36"/>
    </row>
    <row r="55" spans="2:8" x14ac:dyDescent="0.2">
      <c r="B55" s="35"/>
      <c r="H55" s="36"/>
    </row>
    <row r="56" spans="2:8" x14ac:dyDescent="0.2">
      <c r="B56" s="35"/>
      <c r="H56" s="36"/>
    </row>
    <row r="57" spans="2:8" x14ac:dyDescent="0.2">
      <c r="B57" s="35"/>
      <c r="H57" s="36"/>
    </row>
    <row r="58" spans="2:8" x14ac:dyDescent="0.2">
      <c r="B58" s="35"/>
      <c r="H58" s="36"/>
    </row>
    <row r="59" spans="2:8" x14ac:dyDescent="0.2">
      <c r="B59" s="35"/>
      <c r="H59" s="36"/>
    </row>
    <row r="60" spans="2:8" x14ac:dyDescent="0.2">
      <c r="B60" s="35"/>
      <c r="H60" s="36"/>
    </row>
    <row r="61" spans="2:8" x14ac:dyDescent="0.2">
      <c r="B61" s="35"/>
      <c r="H61" s="36"/>
    </row>
    <row r="62" spans="2:8" x14ac:dyDescent="0.2">
      <c r="B62" s="35"/>
      <c r="H62" s="36"/>
    </row>
    <row r="63" spans="2:8" x14ac:dyDescent="0.2">
      <c r="B63" s="35"/>
      <c r="H63" s="36"/>
    </row>
    <row r="64" spans="2:8" x14ac:dyDescent="0.2">
      <c r="B64" s="35"/>
      <c r="H64" s="36"/>
    </row>
    <row r="65" spans="2:8" x14ac:dyDescent="0.2">
      <c r="B65" s="35"/>
      <c r="H65" s="36"/>
    </row>
    <row r="66" spans="2:8" x14ac:dyDescent="0.2">
      <c r="B66" s="35"/>
      <c r="H66" s="36"/>
    </row>
    <row r="67" spans="2:8" x14ac:dyDescent="0.2">
      <c r="B67" s="35"/>
      <c r="H67" s="36"/>
    </row>
    <row r="68" spans="2:8" x14ac:dyDescent="0.2">
      <c r="B68" s="35"/>
      <c r="H68" s="36"/>
    </row>
    <row r="69" spans="2:8" x14ac:dyDescent="0.2">
      <c r="B69" s="35"/>
      <c r="H69" s="36"/>
    </row>
    <row r="70" spans="2:8" x14ac:dyDescent="0.2">
      <c r="B70" s="35"/>
      <c r="H70" s="36"/>
    </row>
    <row r="71" spans="2:8" x14ac:dyDescent="0.2">
      <c r="B71" s="35"/>
      <c r="H71" s="36"/>
    </row>
    <row r="72" spans="2:8" x14ac:dyDescent="0.2">
      <c r="B72" s="35"/>
      <c r="H72" s="36"/>
    </row>
    <row r="73" spans="2:8" x14ac:dyDescent="0.2">
      <c r="B73" s="35"/>
      <c r="H73" s="36"/>
    </row>
    <row r="74" spans="2:8" x14ac:dyDescent="0.2">
      <c r="B74" s="35"/>
      <c r="H74" s="36"/>
    </row>
    <row r="75" spans="2:8" x14ac:dyDescent="0.2">
      <c r="B75" s="35"/>
      <c r="H75" s="36"/>
    </row>
    <row r="76" spans="2:8" x14ac:dyDescent="0.2">
      <c r="B76" s="35"/>
      <c r="H76" s="36"/>
    </row>
    <row r="77" spans="2:8" x14ac:dyDescent="0.2">
      <c r="B77" s="35"/>
      <c r="H77" s="36"/>
    </row>
    <row r="78" spans="2:8" x14ac:dyDescent="0.2">
      <c r="B78" s="35"/>
      <c r="H78" s="36"/>
    </row>
    <row r="79" spans="2:8" x14ac:dyDescent="0.2">
      <c r="B79" s="35"/>
      <c r="H79" s="36"/>
    </row>
    <row r="80" spans="2:8" x14ac:dyDescent="0.2">
      <c r="B80" s="35"/>
      <c r="H80" s="36"/>
    </row>
    <row r="81" spans="2:8" x14ac:dyDescent="0.2">
      <c r="B81" s="35"/>
      <c r="H81" s="36"/>
    </row>
    <row r="82" spans="2:8" x14ac:dyDescent="0.2">
      <c r="B82" s="35"/>
      <c r="H82" s="36"/>
    </row>
    <row r="83" spans="2:8" x14ac:dyDescent="0.2">
      <c r="B83" s="35"/>
      <c r="H83" s="36"/>
    </row>
    <row r="84" spans="2:8" x14ac:dyDescent="0.2">
      <c r="B84" s="35"/>
      <c r="H84" s="36"/>
    </row>
    <row r="85" spans="2:8" x14ac:dyDescent="0.2">
      <c r="B85" s="35"/>
      <c r="H85" s="36"/>
    </row>
    <row r="86" spans="2:8" x14ac:dyDescent="0.2">
      <c r="B86" s="35"/>
      <c r="H86" s="36"/>
    </row>
    <row r="87" spans="2:8" x14ac:dyDescent="0.2">
      <c r="B87" s="35"/>
      <c r="H87" s="36"/>
    </row>
    <row r="88" spans="2:8" x14ac:dyDescent="0.2">
      <c r="B88" s="35"/>
      <c r="H88" s="36"/>
    </row>
    <row r="89" spans="2:8" x14ac:dyDescent="0.2">
      <c r="B89" s="35"/>
      <c r="H89" s="36"/>
    </row>
    <row r="90" spans="2:8" x14ac:dyDescent="0.2">
      <c r="B90" s="35"/>
      <c r="H90" s="36"/>
    </row>
    <row r="91" spans="2:8" x14ac:dyDescent="0.2">
      <c r="B91" s="35"/>
      <c r="H91" s="36"/>
    </row>
    <row r="92" spans="2:8" x14ac:dyDescent="0.2">
      <c r="B92" s="35"/>
      <c r="H92" s="36"/>
    </row>
    <row r="93" spans="2:8" x14ac:dyDescent="0.2">
      <c r="B93" s="35"/>
      <c r="H93" s="36"/>
    </row>
    <row r="94" spans="2:8" x14ac:dyDescent="0.2">
      <c r="B94" s="35"/>
      <c r="H94" s="36"/>
    </row>
    <row r="95" spans="2:8" x14ac:dyDescent="0.2">
      <c r="B95" s="35"/>
      <c r="H95" s="36"/>
    </row>
    <row r="96" spans="2:8" x14ac:dyDescent="0.2">
      <c r="B96" s="35"/>
      <c r="H96" s="36"/>
    </row>
    <row r="97" spans="2:8" x14ac:dyDescent="0.2">
      <c r="B97" s="35"/>
      <c r="H97" s="36"/>
    </row>
    <row r="98" spans="2:8" x14ac:dyDescent="0.2">
      <c r="B98" s="35"/>
      <c r="H98" s="36"/>
    </row>
    <row r="99" spans="2:8" x14ac:dyDescent="0.2">
      <c r="B99" s="35"/>
      <c r="H99" s="36"/>
    </row>
    <row r="100" spans="2:8" x14ac:dyDescent="0.2">
      <c r="B100" s="35"/>
      <c r="H100" s="36"/>
    </row>
    <row r="101" spans="2:8" x14ac:dyDescent="0.2">
      <c r="B101" s="35"/>
      <c r="H101" s="36"/>
    </row>
    <row r="102" spans="2:8" x14ac:dyDescent="0.2">
      <c r="B102" s="35"/>
      <c r="H102" s="36"/>
    </row>
    <row r="103" spans="2:8" x14ac:dyDescent="0.2">
      <c r="B103" s="35"/>
      <c r="H103" s="36"/>
    </row>
    <row r="104" spans="2:8" x14ac:dyDescent="0.2">
      <c r="B104" s="35"/>
      <c r="H104" s="36"/>
    </row>
    <row r="105" spans="2:8" x14ac:dyDescent="0.2">
      <c r="B105" s="35"/>
      <c r="H105" s="36"/>
    </row>
    <row r="106" spans="2:8" x14ac:dyDescent="0.2">
      <c r="B106" s="35"/>
      <c r="H106" s="36"/>
    </row>
    <row r="107" spans="2:8" x14ac:dyDescent="0.2">
      <c r="B107" s="35"/>
      <c r="H107" s="36"/>
    </row>
    <row r="108" spans="2:8" x14ac:dyDescent="0.2">
      <c r="B108" s="35"/>
      <c r="H108" s="36"/>
    </row>
    <row r="109" spans="2:8" x14ac:dyDescent="0.2">
      <c r="B109" s="35"/>
      <c r="H109" s="36"/>
    </row>
    <row r="110" spans="2:8" x14ac:dyDescent="0.2">
      <c r="B110" s="35"/>
      <c r="H110" s="36"/>
    </row>
    <row r="111" spans="2:8" x14ac:dyDescent="0.2">
      <c r="B111" s="35"/>
      <c r="H111" s="36"/>
    </row>
    <row r="112" spans="2:8" x14ac:dyDescent="0.2">
      <c r="B112" s="35"/>
      <c r="H112" s="36"/>
    </row>
    <row r="113" spans="2:8" x14ac:dyDescent="0.2">
      <c r="B113" s="35"/>
      <c r="H113" s="36"/>
    </row>
    <row r="114" spans="2:8" x14ac:dyDescent="0.2">
      <c r="B114" s="35"/>
      <c r="H114" s="36"/>
    </row>
    <row r="115" spans="2:8" x14ac:dyDescent="0.2">
      <c r="B115" s="35"/>
      <c r="H115" s="36"/>
    </row>
    <row r="116" spans="2:8" x14ac:dyDescent="0.2">
      <c r="B116" s="35"/>
      <c r="H116" s="36"/>
    </row>
    <row r="117" spans="2:8" x14ac:dyDescent="0.2">
      <c r="B117" s="35"/>
      <c r="H117" s="36"/>
    </row>
    <row r="118" spans="2:8" x14ac:dyDescent="0.2">
      <c r="B118" s="35"/>
      <c r="H118" s="36"/>
    </row>
    <row r="119" spans="2:8" x14ac:dyDescent="0.2">
      <c r="B119" s="35"/>
      <c r="H119" s="36"/>
    </row>
    <row r="120" spans="2:8" x14ac:dyDescent="0.2">
      <c r="B120" s="35"/>
      <c r="H120" s="36"/>
    </row>
    <row r="121" spans="2:8" x14ac:dyDescent="0.2">
      <c r="B121" s="35"/>
      <c r="H121" s="36"/>
    </row>
    <row r="122" spans="2:8" x14ac:dyDescent="0.2">
      <c r="B122" s="35"/>
      <c r="H122" s="36"/>
    </row>
    <row r="123" spans="2:8" x14ac:dyDescent="0.2">
      <c r="B123" s="35"/>
      <c r="H123" s="36"/>
    </row>
    <row r="124" spans="2:8" x14ac:dyDescent="0.2">
      <c r="B124" s="35"/>
      <c r="H124" s="36"/>
    </row>
    <row r="125" spans="2:8" x14ac:dyDescent="0.2">
      <c r="B125" s="35"/>
      <c r="H125" s="36"/>
    </row>
    <row r="126" spans="2:8" x14ac:dyDescent="0.2">
      <c r="B126" s="35"/>
      <c r="H126" s="36"/>
    </row>
    <row r="127" spans="2:8" x14ac:dyDescent="0.2">
      <c r="B127" s="35"/>
      <c r="H127" s="36"/>
    </row>
    <row r="128" spans="2:8" x14ac:dyDescent="0.2">
      <c r="B128" s="35"/>
      <c r="H128" s="36"/>
    </row>
    <row r="129" spans="2:8" x14ac:dyDescent="0.2">
      <c r="B129" s="35"/>
      <c r="H129" s="36"/>
    </row>
    <row r="130" spans="2:8" x14ac:dyDescent="0.2">
      <c r="B130" s="35"/>
      <c r="H130" s="36"/>
    </row>
    <row r="131" spans="2:8" x14ac:dyDescent="0.2">
      <c r="B131" s="35"/>
      <c r="H131" s="36"/>
    </row>
    <row r="132" spans="2:8" x14ac:dyDescent="0.2">
      <c r="B132" s="35"/>
      <c r="H132" s="36"/>
    </row>
    <row r="133" spans="2:8" x14ac:dyDescent="0.2">
      <c r="B133" s="35"/>
      <c r="H133" s="36"/>
    </row>
    <row r="134" spans="2:8" x14ac:dyDescent="0.2">
      <c r="B134" s="35"/>
      <c r="H134" s="36"/>
    </row>
    <row r="135" spans="2:8" x14ac:dyDescent="0.2">
      <c r="B135" s="35"/>
      <c r="H135" s="36"/>
    </row>
    <row r="136" spans="2:8" x14ac:dyDescent="0.2">
      <c r="B136" s="35"/>
      <c r="H136" s="36"/>
    </row>
    <row r="137" spans="2:8" x14ac:dyDescent="0.2">
      <c r="B137" s="35"/>
      <c r="H137" s="36"/>
    </row>
    <row r="138" spans="2:8" x14ac:dyDescent="0.2">
      <c r="B138" s="35"/>
      <c r="H138" s="36"/>
    </row>
    <row r="139" spans="2:8" x14ac:dyDescent="0.2">
      <c r="B139" s="35"/>
      <c r="H139" s="36"/>
    </row>
    <row r="140" spans="2:8" x14ac:dyDescent="0.2">
      <c r="B140" s="35"/>
      <c r="H140" s="36"/>
    </row>
    <row r="141" spans="2:8" x14ac:dyDescent="0.2">
      <c r="B141" s="35"/>
      <c r="H141" s="36"/>
    </row>
    <row r="142" spans="2:8" x14ac:dyDescent="0.2">
      <c r="B142" s="35"/>
      <c r="H142" s="36"/>
    </row>
    <row r="143" spans="2:8" x14ac:dyDescent="0.2">
      <c r="B143" s="35"/>
      <c r="H143" s="36"/>
    </row>
    <row r="144" spans="2:8" x14ac:dyDescent="0.2">
      <c r="B144" s="35"/>
      <c r="H144" s="36"/>
    </row>
    <row r="145" spans="2:8" x14ac:dyDescent="0.2">
      <c r="B145" s="35"/>
      <c r="H145" s="36"/>
    </row>
    <row r="146" spans="2:8" x14ac:dyDescent="0.2">
      <c r="B146" s="35"/>
      <c r="H146" s="36"/>
    </row>
    <row r="147" spans="2:8" x14ac:dyDescent="0.2">
      <c r="B147" s="35"/>
      <c r="H147" s="36"/>
    </row>
    <row r="148" spans="2:8" x14ac:dyDescent="0.2">
      <c r="B148" s="35"/>
      <c r="H148" s="36"/>
    </row>
    <row r="149" spans="2:8" x14ac:dyDescent="0.2">
      <c r="B149" s="35"/>
      <c r="H149" s="36"/>
    </row>
    <row r="150" spans="2:8" x14ac:dyDescent="0.2">
      <c r="B150" s="35"/>
      <c r="H150" s="36"/>
    </row>
    <row r="151" spans="2:8" x14ac:dyDescent="0.2">
      <c r="B151" s="35"/>
      <c r="H151" s="36"/>
    </row>
    <row r="152" spans="2:8" x14ac:dyDescent="0.2">
      <c r="B152" s="35"/>
      <c r="H152" s="36"/>
    </row>
    <row r="153" spans="2:8" x14ac:dyDescent="0.2">
      <c r="B153" s="35"/>
      <c r="H153" s="36"/>
    </row>
    <row r="154" spans="2:8" x14ac:dyDescent="0.2">
      <c r="B154" s="35"/>
      <c r="H154" s="36"/>
    </row>
    <row r="155" spans="2:8" x14ac:dyDescent="0.2">
      <c r="B155" s="35"/>
      <c r="H155" s="36"/>
    </row>
    <row r="156" spans="2:8" x14ac:dyDescent="0.2">
      <c r="B156" s="35"/>
      <c r="H156" s="36"/>
    </row>
    <row r="157" spans="2:8" x14ac:dyDescent="0.2">
      <c r="B157" s="35"/>
      <c r="H157" s="36"/>
    </row>
    <row r="158" spans="2:8" x14ac:dyDescent="0.2">
      <c r="B158" s="35"/>
      <c r="H158" s="36"/>
    </row>
    <row r="159" spans="2:8" x14ac:dyDescent="0.2">
      <c r="B159" s="35"/>
      <c r="H159" s="36"/>
    </row>
    <row r="160" spans="2:8" x14ac:dyDescent="0.2">
      <c r="B160" s="35"/>
      <c r="H160" s="36"/>
    </row>
    <row r="161" spans="2:8" x14ac:dyDescent="0.2">
      <c r="B161" s="35"/>
      <c r="H161" s="36"/>
    </row>
    <row r="162" spans="2:8" x14ac:dyDescent="0.2">
      <c r="B162" s="35"/>
      <c r="H162" s="36"/>
    </row>
    <row r="163" spans="2:8" x14ac:dyDescent="0.2">
      <c r="B163" s="35"/>
      <c r="H163" s="36"/>
    </row>
    <row r="164" spans="2:8" x14ac:dyDescent="0.2">
      <c r="B164" s="35"/>
      <c r="H164" s="36"/>
    </row>
    <row r="165" spans="2:8" x14ac:dyDescent="0.2">
      <c r="B165" s="35"/>
      <c r="H165" s="36"/>
    </row>
    <row r="166" spans="2:8" x14ac:dyDescent="0.2">
      <c r="B166" s="35"/>
      <c r="H166" s="36"/>
    </row>
    <row r="167" spans="2:8" x14ac:dyDescent="0.2">
      <c r="B167" s="35"/>
      <c r="H167" s="36"/>
    </row>
    <row r="168" spans="2:8" x14ac:dyDescent="0.2">
      <c r="B168" s="35"/>
      <c r="H168" s="36"/>
    </row>
    <row r="169" spans="2:8" x14ac:dyDescent="0.2">
      <c r="B169" s="35"/>
      <c r="H169" s="36"/>
    </row>
    <row r="170" spans="2:8" x14ac:dyDescent="0.2">
      <c r="B170" s="35"/>
      <c r="H170" s="36"/>
    </row>
    <row r="171" spans="2:8" x14ac:dyDescent="0.2">
      <c r="B171" s="35"/>
      <c r="H171" s="36"/>
    </row>
    <row r="172" spans="2:8" x14ac:dyDescent="0.2">
      <c r="B172" s="35"/>
      <c r="H172" s="36"/>
    </row>
    <row r="173" spans="2:8" x14ac:dyDescent="0.2">
      <c r="B173" s="35"/>
      <c r="H173" s="36"/>
    </row>
    <row r="174" spans="2:8" x14ac:dyDescent="0.2">
      <c r="B174" s="35"/>
      <c r="H174" s="36"/>
    </row>
    <row r="175" spans="2:8" x14ac:dyDescent="0.2">
      <c r="B175" s="35"/>
      <c r="H175" s="36"/>
    </row>
    <row r="176" spans="2:8" x14ac:dyDescent="0.2">
      <c r="B176" s="35"/>
      <c r="H176" s="36"/>
    </row>
    <row r="177" spans="2:8" x14ac:dyDescent="0.2">
      <c r="B177" s="35"/>
      <c r="H177" s="36"/>
    </row>
    <row r="178" spans="2:8" x14ac:dyDescent="0.2">
      <c r="B178" s="35"/>
      <c r="H178" s="36"/>
    </row>
    <row r="179" spans="2:8" x14ac:dyDescent="0.2">
      <c r="B179" s="35"/>
      <c r="H179" s="36"/>
    </row>
    <row r="180" spans="2:8" x14ac:dyDescent="0.2">
      <c r="B180" s="35"/>
      <c r="H180" s="36"/>
    </row>
    <row r="181" spans="2:8" x14ac:dyDescent="0.2">
      <c r="B181" s="35"/>
      <c r="H181" s="36"/>
    </row>
    <row r="182" spans="2:8" x14ac:dyDescent="0.2">
      <c r="B182" s="35"/>
      <c r="H182" s="36"/>
    </row>
    <row r="183" spans="2:8" x14ac:dyDescent="0.2">
      <c r="B183" s="35"/>
      <c r="H183" s="36"/>
    </row>
    <row r="184" spans="2:8" x14ac:dyDescent="0.2">
      <c r="B184" s="35"/>
      <c r="H184" s="36"/>
    </row>
    <row r="185" spans="2:8" x14ac:dyDescent="0.2">
      <c r="B185" s="35"/>
      <c r="H185" s="36"/>
    </row>
    <row r="186" spans="2:8" x14ac:dyDescent="0.2">
      <c r="B186" s="35"/>
      <c r="H186" s="36"/>
    </row>
    <row r="187" spans="2:8" x14ac:dyDescent="0.2">
      <c r="B187" s="35"/>
      <c r="H187" s="36"/>
    </row>
    <row r="188" spans="2:8" x14ac:dyDescent="0.2">
      <c r="B188" s="35"/>
      <c r="H188" s="36"/>
    </row>
    <row r="189" spans="2:8" x14ac:dyDescent="0.2">
      <c r="B189" s="35"/>
      <c r="H189" s="36"/>
    </row>
    <row r="190" spans="2:8" x14ac:dyDescent="0.2">
      <c r="B190" s="35"/>
      <c r="H190" s="36"/>
    </row>
    <row r="191" spans="2:8" x14ac:dyDescent="0.2">
      <c r="B191" s="35"/>
      <c r="H191" s="36"/>
    </row>
    <row r="192" spans="2:8" x14ac:dyDescent="0.2">
      <c r="B192" s="35"/>
      <c r="H192" s="36"/>
    </row>
    <row r="193" spans="2:8" x14ac:dyDescent="0.2">
      <c r="B193" s="35"/>
      <c r="H193" s="36"/>
    </row>
    <row r="194" spans="2:8" x14ac:dyDescent="0.2">
      <c r="B194" s="35"/>
      <c r="H194" s="36"/>
    </row>
    <row r="195" spans="2:8" x14ac:dyDescent="0.2">
      <c r="B195" s="35"/>
      <c r="H195" s="36"/>
    </row>
    <row r="196" spans="2:8" x14ac:dyDescent="0.2">
      <c r="B196" s="35"/>
      <c r="H196" s="36"/>
    </row>
    <row r="197" spans="2:8" x14ac:dyDescent="0.2">
      <c r="B197" s="35"/>
      <c r="H197" s="36"/>
    </row>
    <row r="198" spans="2:8" x14ac:dyDescent="0.2">
      <c r="B198" s="35"/>
      <c r="H198" s="36"/>
    </row>
    <row r="199" spans="2:8" x14ac:dyDescent="0.2">
      <c r="B199" s="35"/>
      <c r="H199" s="36"/>
    </row>
    <row r="200" spans="2:8" x14ac:dyDescent="0.2">
      <c r="B200" s="35"/>
      <c r="H200" s="36"/>
    </row>
  </sheetData>
  <mergeCells count="1">
    <mergeCell ref="A1:H1"/>
  </mergeCells>
  <dataValidations count="2">
    <dataValidation type="list" sqref="D4:F200" xr:uid="{00000000-0002-0000-0400-000000000000}">
      <formula1>"Sí,No,Parcial"</formula1>
      <formula2>0</formula2>
    </dataValidation>
    <dataValidation type="list" sqref="G4:G200" xr:uid="{00000000-0002-0000-0400-000001000000}">
      <formula1>"Sí,No"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6"/>
  <sheetViews>
    <sheetView zoomScaleNormal="100" workbookViewId="0">
      <selection sqref="A1:H1"/>
    </sheetView>
  </sheetViews>
  <sheetFormatPr baseColWidth="10" defaultColWidth="12.5703125" defaultRowHeight="12.75" x14ac:dyDescent="0.2"/>
  <cols>
    <col min="1" max="1" width="24" style="4" customWidth="1"/>
    <col min="2" max="2" width="30" style="4" customWidth="1"/>
    <col min="4" max="4" width="18" style="4" customWidth="1"/>
    <col min="6" max="6" width="18" style="4" customWidth="1"/>
    <col min="8" max="8" width="14" style="4" customWidth="1"/>
    <col min="10" max="10" width="22" style="4" customWidth="1"/>
  </cols>
  <sheetData>
    <row r="1" spans="1:10" ht="27.75" customHeight="1" x14ac:dyDescent="0.2">
      <c r="A1" s="1" t="s">
        <v>115</v>
      </c>
      <c r="B1" s="1"/>
      <c r="C1" s="1"/>
      <c r="D1" s="1"/>
      <c r="E1" s="1"/>
      <c r="F1" s="1"/>
      <c r="G1" s="1"/>
      <c r="H1" s="1"/>
      <c r="I1" s="25"/>
      <c r="J1" s="25"/>
    </row>
    <row r="2" spans="1:10" ht="14.25" x14ac:dyDescent="0.2">
      <c r="B2" s="31"/>
    </row>
    <row r="3" spans="1:10" ht="15" x14ac:dyDescent="0.25">
      <c r="A3" s="54" t="s">
        <v>6</v>
      </c>
      <c r="B3" s="55" t="s">
        <v>29</v>
      </c>
      <c r="C3" s="31"/>
      <c r="D3" s="56" t="s">
        <v>28</v>
      </c>
      <c r="F3" s="56" t="s">
        <v>33</v>
      </c>
      <c r="H3" s="56" t="s">
        <v>116</v>
      </c>
      <c r="J3" s="56" t="s">
        <v>117</v>
      </c>
    </row>
    <row r="4" spans="1:10" ht="14.25" x14ac:dyDescent="0.2">
      <c r="A4" s="4" t="s">
        <v>11</v>
      </c>
      <c r="B4" s="31" t="s">
        <v>39</v>
      </c>
      <c r="C4" s="31"/>
      <c r="D4" s="4" t="s">
        <v>55</v>
      </c>
      <c r="F4" s="4" t="s">
        <v>118</v>
      </c>
      <c r="H4" s="4" t="s">
        <v>92</v>
      </c>
      <c r="J4" s="4" t="s">
        <v>11</v>
      </c>
    </row>
    <row r="5" spans="1:10" ht="14.25" x14ac:dyDescent="0.2">
      <c r="A5" s="4" t="s">
        <v>11</v>
      </c>
      <c r="B5" s="31" t="s">
        <v>40</v>
      </c>
      <c r="C5" s="31"/>
      <c r="D5" s="4" t="s">
        <v>35</v>
      </c>
      <c r="F5" s="4" t="s">
        <v>119</v>
      </c>
      <c r="H5" s="4" t="s">
        <v>120</v>
      </c>
      <c r="J5" s="4" t="s">
        <v>13</v>
      </c>
    </row>
    <row r="6" spans="1:10" ht="14.25" x14ac:dyDescent="0.2">
      <c r="A6" s="4" t="s">
        <v>11</v>
      </c>
      <c r="B6" s="31" t="s">
        <v>51</v>
      </c>
      <c r="C6" s="31"/>
      <c r="F6" s="4" t="s">
        <v>121</v>
      </c>
      <c r="H6" s="4" t="s">
        <v>122</v>
      </c>
      <c r="J6" s="4" t="s">
        <v>15</v>
      </c>
    </row>
    <row r="7" spans="1:10" ht="14.25" x14ac:dyDescent="0.2">
      <c r="A7" s="4" t="s">
        <v>11</v>
      </c>
      <c r="B7" s="31" t="s">
        <v>45</v>
      </c>
      <c r="C7" s="31"/>
      <c r="F7" s="4" t="s">
        <v>123</v>
      </c>
      <c r="H7" s="4" t="s">
        <v>124</v>
      </c>
      <c r="J7" s="4" t="s">
        <v>17</v>
      </c>
    </row>
    <row r="8" spans="1:10" ht="14.25" x14ac:dyDescent="0.2">
      <c r="A8" s="4" t="s">
        <v>11</v>
      </c>
      <c r="B8" s="31" t="s">
        <v>125</v>
      </c>
      <c r="C8" s="31"/>
      <c r="F8" s="4" t="s">
        <v>126</v>
      </c>
      <c r="J8" s="4" t="s">
        <v>18</v>
      </c>
    </row>
    <row r="9" spans="1:10" ht="14.25" x14ac:dyDescent="0.2">
      <c r="A9" s="4" t="s">
        <v>11</v>
      </c>
      <c r="B9" s="31" t="s">
        <v>127</v>
      </c>
      <c r="C9" s="31"/>
      <c r="J9" s="4" t="s">
        <v>19</v>
      </c>
    </row>
    <row r="10" spans="1:10" ht="14.25" x14ac:dyDescent="0.2">
      <c r="A10" s="4" t="s">
        <v>11</v>
      </c>
      <c r="B10" s="31" t="s">
        <v>128</v>
      </c>
      <c r="C10" s="31"/>
      <c r="J10" s="4" t="s">
        <v>20</v>
      </c>
    </row>
    <row r="11" spans="1:10" ht="14.25" x14ac:dyDescent="0.2">
      <c r="A11" s="4" t="s">
        <v>11</v>
      </c>
      <c r="B11" s="31" t="s">
        <v>129</v>
      </c>
      <c r="C11" s="31"/>
      <c r="J11" s="4" t="s">
        <v>21</v>
      </c>
    </row>
    <row r="12" spans="1:10" ht="14.25" x14ac:dyDescent="0.2">
      <c r="A12" s="4" t="s">
        <v>11</v>
      </c>
      <c r="B12" s="31" t="s">
        <v>130</v>
      </c>
      <c r="C12" s="31"/>
      <c r="J12" s="4" t="s">
        <v>22</v>
      </c>
    </row>
    <row r="13" spans="1:10" ht="14.25" x14ac:dyDescent="0.2">
      <c r="A13" s="4" t="s">
        <v>11</v>
      </c>
      <c r="B13" s="31" t="s">
        <v>69</v>
      </c>
      <c r="J13" s="4" t="s">
        <v>23</v>
      </c>
    </row>
    <row r="14" spans="1:10" ht="14.25" x14ac:dyDescent="0.2">
      <c r="A14" s="4" t="s">
        <v>13</v>
      </c>
      <c r="B14" s="31" t="s">
        <v>131</v>
      </c>
      <c r="C14" s="31"/>
      <c r="J14" s="4" t="s">
        <v>24</v>
      </c>
    </row>
    <row r="15" spans="1:10" ht="14.25" x14ac:dyDescent="0.2">
      <c r="A15" s="4" t="s">
        <v>13</v>
      </c>
      <c r="B15" s="31" t="s">
        <v>132</v>
      </c>
      <c r="C15" s="31"/>
      <c r="J15" s="4" t="s">
        <v>25</v>
      </c>
    </row>
    <row r="16" spans="1:10" ht="14.25" x14ac:dyDescent="0.2">
      <c r="A16" s="4" t="s">
        <v>13</v>
      </c>
      <c r="B16" s="31" t="s">
        <v>133</v>
      </c>
      <c r="C16" s="31"/>
      <c r="J16" s="4" t="s">
        <v>26</v>
      </c>
    </row>
    <row r="17" spans="1:3" ht="14.25" x14ac:dyDescent="0.2">
      <c r="A17" s="4" t="s">
        <v>13</v>
      </c>
      <c r="B17" s="31" t="s">
        <v>134</v>
      </c>
      <c r="C17" s="31"/>
    </row>
    <row r="18" spans="1:3" ht="14.25" x14ac:dyDescent="0.2">
      <c r="A18" s="4" t="s">
        <v>13</v>
      </c>
      <c r="B18" s="31" t="s">
        <v>135</v>
      </c>
      <c r="C18" s="31"/>
    </row>
    <row r="19" spans="1:3" x14ac:dyDescent="0.2">
      <c r="A19" s="4" t="s">
        <v>13</v>
      </c>
      <c r="B19" s="4" t="s">
        <v>136</v>
      </c>
    </row>
    <row r="20" spans="1:3" ht="14.25" x14ac:dyDescent="0.2">
      <c r="A20" s="4" t="s">
        <v>13</v>
      </c>
      <c r="B20" s="31" t="s">
        <v>63</v>
      </c>
      <c r="C20" s="31"/>
    </row>
    <row r="21" spans="1:3" ht="14.25" x14ac:dyDescent="0.2">
      <c r="A21" s="4" t="s">
        <v>13</v>
      </c>
      <c r="B21" s="31" t="s">
        <v>137</v>
      </c>
      <c r="C21" s="31"/>
    </row>
    <row r="22" spans="1:3" ht="14.25" x14ac:dyDescent="0.2">
      <c r="A22" s="4" t="s">
        <v>15</v>
      </c>
      <c r="B22" s="31" t="s">
        <v>138</v>
      </c>
      <c r="C22" s="31"/>
    </row>
    <row r="23" spans="1:3" ht="14.25" x14ac:dyDescent="0.2">
      <c r="A23" s="4" t="s">
        <v>15</v>
      </c>
      <c r="B23" s="31" t="s">
        <v>139</v>
      </c>
      <c r="C23" s="31"/>
    </row>
    <row r="24" spans="1:3" ht="14.25" x14ac:dyDescent="0.2">
      <c r="A24" s="4" t="s">
        <v>15</v>
      </c>
      <c r="B24" s="31" t="s">
        <v>49</v>
      </c>
      <c r="C24" s="31"/>
    </row>
    <row r="25" spans="1:3" ht="14.25" x14ac:dyDescent="0.2">
      <c r="A25" s="4" t="s">
        <v>15</v>
      </c>
      <c r="B25" s="31" t="s">
        <v>140</v>
      </c>
      <c r="C25" s="31"/>
    </row>
    <row r="26" spans="1:3" ht="14.25" x14ac:dyDescent="0.2">
      <c r="A26" s="4" t="s">
        <v>15</v>
      </c>
      <c r="B26" s="31" t="s">
        <v>41</v>
      </c>
      <c r="C26" s="31"/>
    </row>
    <row r="27" spans="1:3" ht="14.25" x14ac:dyDescent="0.2">
      <c r="A27" s="4" t="s">
        <v>17</v>
      </c>
      <c r="B27" s="31" t="s">
        <v>68</v>
      </c>
      <c r="C27" s="31"/>
    </row>
    <row r="28" spans="1:3" x14ac:dyDescent="0.2">
      <c r="A28" s="4" t="s">
        <v>17</v>
      </c>
      <c r="B28" s="4" t="s">
        <v>141</v>
      </c>
    </row>
    <row r="29" spans="1:3" ht="14.25" x14ac:dyDescent="0.2">
      <c r="A29" s="4" t="s">
        <v>17</v>
      </c>
      <c r="B29" s="31" t="s">
        <v>142</v>
      </c>
      <c r="C29" s="31"/>
    </row>
    <row r="30" spans="1:3" ht="14.25" x14ac:dyDescent="0.2">
      <c r="A30" s="4" t="s">
        <v>17</v>
      </c>
      <c r="B30" s="31" t="s">
        <v>143</v>
      </c>
      <c r="C30" s="31"/>
    </row>
    <row r="31" spans="1:3" ht="14.25" x14ac:dyDescent="0.2">
      <c r="A31" s="4" t="s">
        <v>17</v>
      </c>
      <c r="B31" s="31" t="s">
        <v>144</v>
      </c>
      <c r="C31" s="31"/>
    </row>
    <row r="32" spans="1:3" ht="14.25" x14ac:dyDescent="0.2">
      <c r="A32" s="4" t="s">
        <v>17</v>
      </c>
      <c r="B32" s="31" t="s">
        <v>47</v>
      </c>
      <c r="C32" s="31"/>
    </row>
    <row r="33" spans="1:3" ht="14.25" x14ac:dyDescent="0.2">
      <c r="A33" s="4" t="s">
        <v>17</v>
      </c>
      <c r="B33" s="31" t="s">
        <v>145</v>
      </c>
      <c r="C33" s="31"/>
    </row>
    <row r="34" spans="1:3" ht="14.25" x14ac:dyDescent="0.2">
      <c r="A34" s="4" t="s">
        <v>17</v>
      </c>
      <c r="B34" s="31" t="s">
        <v>146</v>
      </c>
      <c r="C34" s="31"/>
    </row>
    <row r="35" spans="1:3" x14ac:dyDescent="0.2">
      <c r="A35" s="4" t="s">
        <v>17</v>
      </c>
      <c r="B35" s="4" t="s">
        <v>147</v>
      </c>
    </row>
    <row r="36" spans="1:3" ht="14.25" x14ac:dyDescent="0.2">
      <c r="A36" s="4" t="s">
        <v>17</v>
      </c>
      <c r="B36" s="31" t="s">
        <v>61</v>
      </c>
      <c r="C36" s="31"/>
    </row>
    <row r="37" spans="1:3" ht="14.25" x14ac:dyDescent="0.2">
      <c r="A37" s="4" t="s">
        <v>17</v>
      </c>
      <c r="B37" s="31" t="s">
        <v>148</v>
      </c>
      <c r="C37" s="31"/>
    </row>
    <row r="38" spans="1:3" ht="14.25" x14ac:dyDescent="0.2">
      <c r="A38" s="4" t="s">
        <v>17</v>
      </c>
      <c r="B38" s="31" t="s">
        <v>149</v>
      </c>
      <c r="C38" s="31"/>
    </row>
    <row r="39" spans="1:3" ht="14.25" x14ac:dyDescent="0.2">
      <c r="A39" s="4" t="s">
        <v>18</v>
      </c>
      <c r="B39" s="31" t="s">
        <v>150</v>
      </c>
      <c r="C39" s="31"/>
    </row>
    <row r="40" spans="1:3" x14ac:dyDescent="0.2">
      <c r="A40" s="4" t="s">
        <v>18</v>
      </c>
      <c r="B40" s="4" t="s">
        <v>151</v>
      </c>
    </row>
    <row r="41" spans="1:3" ht="14.25" x14ac:dyDescent="0.2">
      <c r="A41" s="4" t="s">
        <v>18</v>
      </c>
      <c r="B41" s="31" t="s">
        <v>152</v>
      </c>
      <c r="C41" s="31"/>
    </row>
    <row r="42" spans="1:3" ht="14.25" x14ac:dyDescent="0.2">
      <c r="A42" s="4" t="s">
        <v>18</v>
      </c>
      <c r="B42" s="31" t="s">
        <v>153</v>
      </c>
      <c r="C42" s="31"/>
    </row>
    <row r="43" spans="1:3" ht="14.25" x14ac:dyDescent="0.2">
      <c r="A43" s="4" t="s">
        <v>18</v>
      </c>
      <c r="B43" s="31" t="s">
        <v>154</v>
      </c>
      <c r="C43" s="31"/>
    </row>
    <row r="44" spans="1:3" x14ac:dyDescent="0.2">
      <c r="A44" s="4" t="s">
        <v>18</v>
      </c>
      <c r="B44" s="4" t="s">
        <v>66</v>
      </c>
    </row>
    <row r="45" spans="1:3" ht="14.25" x14ac:dyDescent="0.2">
      <c r="A45" s="4" t="s">
        <v>18</v>
      </c>
      <c r="B45" s="31" t="s">
        <v>155</v>
      </c>
      <c r="C45" s="31"/>
    </row>
    <row r="46" spans="1:3" ht="14.25" x14ac:dyDescent="0.2">
      <c r="A46" s="4" t="s">
        <v>19</v>
      </c>
      <c r="B46" s="31" t="s">
        <v>156</v>
      </c>
      <c r="C46" s="31"/>
    </row>
    <row r="47" spans="1:3" ht="14.25" x14ac:dyDescent="0.2">
      <c r="A47" s="4" t="s">
        <v>19</v>
      </c>
      <c r="B47" s="31" t="s">
        <v>52</v>
      </c>
      <c r="C47" s="31"/>
    </row>
    <row r="48" spans="1:3" x14ac:dyDescent="0.2">
      <c r="A48" s="4" t="s">
        <v>19</v>
      </c>
      <c r="B48" s="4" t="s">
        <v>157</v>
      </c>
    </row>
    <row r="49" spans="1:3" ht="14.25" x14ac:dyDescent="0.2">
      <c r="A49" s="4" t="s">
        <v>19</v>
      </c>
      <c r="B49" s="31" t="s">
        <v>158</v>
      </c>
      <c r="C49" s="31"/>
    </row>
    <row r="50" spans="1:3" ht="14.25" x14ac:dyDescent="0.2">
      <c r="A50" s="4" t="s">
        <v>19</v>
      </c>
      <c r="B50" s="31" t="s">
        <v>159</v>
      </c>
      <c r="C50" s="31"/>
    </row>
    <row r="51" spans="1:3" ht="14.25" x14ac:dyDescent="0.2">
      <c r="A51" s="4" t="s">
        <v>19</v>
      </c>
      <c r="B51" s="31" t="s">
        <v>160</v>
      </c>
      <c r="C51" s="31"/>
    </row>
    <row r="52" spans="1:3" ht="14.25" x14ac:dyDescent="0.2">
      <c r="A52" s="4" t="s">
        <v>20</v>
      </c>
      <c r="B52" s="31" t="s">
        <v>71</v>
      </c>
      <c r="C52" s="31"/>
    </row>
    <row r="53" spans="1:3" x14ac:dyDescent="0.2">
      <c r="A53" s="4" t="s">
        <v>20</v>
      </c>
      <c r="B53" s="4" t="s">
        <v>58</v>
      </c>
    </row>
    <row r="54" spans="1:3" ht="14.25" x14ac:dyDescent="0.2">
      <c r="A54" s="4" t="s">
        <v>20</v>
      </c>
      <c r="B54" s="31" t="s">
        <v>42</v>
      </c>
      <c r="C54" s="31"/>
    </row>
    <row r="55" spans="1:3" ht="14.25" x14ac:dyDescent="0.2">
      <c r="A55" s="4" t="s">
        <v>20</v>
      </c>
      <c r="B55" s="31" t="s">
        <v>161</v>
      </c>
      <c r="C55" s="31"/>
    </row>
    <row r="56" spans="1:3" ht="14.25" x14ac:dyDescent="0.2">
      <c r="A56" s="4" t="s">
        <v>20</v>
      </c>
      <c r="B56" s="31" t="s">
        <v>162</v>
      </c>
      <c r="C56" s="31"/>
    </row>
    <row r="57" spans="1:3" ht="14.25" x14ac:dyDescent="0.2">
      <c r="A57" s="4" t="s">
        <v>20</v>
      </c>
      <c r="B57" s="31" t="s">
        <v>163</v>
      </c>
      <c r="C57" s="31"/>
    </row>
    <row r="58" spans="1:3" x14ac:dyDescent="0.2">
      <c r="A58" s="4" t="s">
        <v>21</v>
      </c>
      <c r="B58" s="4" t="s">
        <v>164</v>
      </c>
    </row>
    <row r="59" spans="1:3" ht="14.25" x14ac:dyDescent="0.2">
      <c r="A59" s="4" t="s">
        <v>21</v>
      </c>
      <c r="B59" s="31" t="s">
        <v>165</v>
      </c>
      <c r="C59" s="31"/>
    </row>
    <row r="60" spans="1:3" ht="14.25" x14ac:dyDescent="0.2">
      <c r="A60" s="4" t="s">
        <v>21</v>
      </c>
      <c r="B60" s="31" t="s">
        <v>166</v>
      </c>
      <c r="C60" s="31"/>
    </row>
    <row r="61" spans="1:3" ht="14.25" x14ac:dyDescent="0.2">
      <c r="A61" s="4" t="s">
        <v>21</v>
      </c>
      <c r="B61" s="31" t="s">
        <v>167</v>
      </c>
      <c r="C61" s="31"/>
    </row>
    <row r="62" spans="1:3" x14ac:dyDescent="0.2">
      <c r="A62" s="4" t="s">
        <v>21</v>
      </c>
      <c r="B62" s="4" t="s">
        <v>61</v>
      </c>
    </row>
    <row r="63" spans="1:3" ht="14.25" x14ac:dyDescent="0.2">
      <c r="A63" s="4" t="s">
        <v>21</v>
      </c>
      <c r="B63" s="31" t="s">
        <v>168</v>
      </c>
      <c r="C63" s="31"/>
    </row>
    <row r="64" spans="1:3" ht="14.25" x14ac:dyDescent="0.2">
      <c r="A64" s="4" t="s">
        <v>22</v>
      </c>
      <c r="B64" s="31" t="s">
        <v>169</v>
      </c>
      <c r="C64" s="31"/>
    </row>
    <row r="65" spans="1:3" ht="14.25" x14ac:dyDescent="0.2">
      <c r="A65" s="4" t="s">
        <v>22</v>
      </c>
      <c r="B65" s="31" t="s">
        <v>170</v>
      </c>
      <c r="C65" s="31"/>
    </row>
    <row r="66" spans="1:3" ht="14.25" x14ac:dyDescent="0.2">
      <c r="A66" s="4" t="s">
        <v>22</v>
      </c>
      <c r="B66" s="31" t="s">
        <v>171</v>
      </c>
      <c r="C66" s="31"/>
    </row>
    <row r="67" spans="1:3" x14ac:dyDescent="0.2">
      <c r="A67" s="4" t="s">
        <v>22</v>
      </c>
      <c r="B67" s="4" t="s">
        <v>172</v>
      </c>
    </row>
    <row r="68" spans="1:3" ht="14.25" x14ac:dyDescent="0.2">
      <c r="A68" s="4" t="s">
        <v>22</v>
      </c>
      <c r="B68" s="31" t="s">
        <v>173</v>
      </c>
      <c r="C68" s="31"/>
    </row>
    <row r="69" spans="1:3" ht="14.25" x14ac:dyDescent="0.2">
      <c r="A69" s="4" t="s">
        <v>22</v>
      </c>
      <c r="B69" s="31" t="s">
        <v>174</v>
      </c>
      <c r="C69" s="31"/>
    </row>
    <row r="70" spans="1:3" ht="14.25" x14ac:dyDescent="0.2">
      <c r="A70" s="4" t="s">
        <v>23</v>
      </c>
      <c r="B70" s="31" t="s">
        <v>175</v>
      </c>
      <c r="C70" s="31"/>
    </row>
    <row r="71" spans="1:3" x14ac:dyDescent="0.2">
      <c r="A71" s="4" t="s">
        <v>23</v>
      </c>
      <c r="B71" s="4" t="s">
        <v>176</v>
      </c>
    </row>
    <row r="72" spans="1:3" x14ac:dyDescent="0.2">
      <c r="A72" s="4" t="s">
        <v>23</v>
      </c>
      <c r="B72" s="4" t="s">
        <v>173</v>
      </c>
    </row>
    <row r="73" spans="1:3" x14ac:dyDescent="0.2">
      <c r="A73" s="4" t="s">
        <v>23</v>
      </c>
      <c r="B73" s="4" t="s">
        <v>177</v>
      </c>
    </row>
    <row r="74" spans="1:3" x14ac:dyDescent="0.2">
      <c r="A74" s="4" t="s">
        <v>23</v>
      </c>
      <c r="B74" s="4" t="s">
        <v>178</v>
      </c>
    </row>
    <row r="75" spans="1:3" x14ac:dyDescent="0.2">
      <c r="A75" s="4" t="s">
        <v>23</v>
      </c>
      <c r="B75" s="4" t="s">
        <v>179</v>
      </c>
    </row>
    <row r="76" spans="1:3" x14ac:dyDescent="0.2">
      <c r="A76" s="4" t="s">
        <v>24</v>
      </c>
      <c r="B76" s="4" t="s">
        <v>180</v>
      </c>
    </row>
    <row r="77" spans="1:3" x14ac:dyDescent="0.2">
      <c r="A77" s="4" t="s">
        <v>24</v>
      </c>
      <c r="B77" s="4" t="s">
        <v>181</v>
      </c>
    </row>
    <row r="78" spans="1:3" x14ac:dyDescent="0.2">
      <c r="A78" s="4" t="s">
        <v>24</v>
      </c>
      <c r="B78" s="4" t="s">
        <v>182</v>
      </c>
    </row>
    <row r="79" spans="1:3" x14ac:dyDescent="0.2">
      <c r="A79" s="4" t="s">
        <v>24</v>
      </c>
      <c r="B79" s="4" t="s">
        <v>183</v>
      </c>
    </row>
    <row r="80" spans="1:3" x14ac:dyDescent="0.2">
      <c r="A80" s="4" t="s">
        <v>24</v>
      </c>
      <c r="B80" s="4" t="s">
        <v>184</v>
      </c>
    </row>
    <row r="81" spans="1:2" x14ac:dyDescent="0.2">
      <c r="A81" s="4" t="s">
        <v>24</v>
      </c>
      <c r="B81" s="4" t="s">
        <v>185</v>
      </c>
    </row>
    <row r="82" spans="1:2" x14ac:dyDescent="0.2">
      <c r="A82" s="4" t="s">
        <v>25</v>
      </c>
      <c r="B82" s="4" t="s">
        <v>186</v>
      </c>
    </row>
    <row r="83" spans="1:2" x14ac:dyDescent="0.2">
      <c r="A83" s="4" t="s">
        <v>25</v>
      </c>
      <c r="B83" s="4" t="s">
        <v>56</v>
      </c>
    </row>
    <row r="84" spans="1:2" x14ac:dyDescent="0.2">
      <c r="A84" s="4" t="s">
        <v>25</v>
      </c>
      <c r="B84" s="4" t="s">
        <v>187</v>
      </c>
    </row>
    <row r="85" spans="1:2" x14ac:dyDescent="0.2">
      <c r="A85" s="4" t="s">
        <v>25</v>
      </c>
      <c r="B85" s="4" t="s">
        <v>188</v>
      </c>
    </row>
    <row r="86" spans="1:2" x14ac:dyDescent="0.2">
      <c r="A86" s="4" t="s">
        <v>25</v>
      </c>
      <c r="B86" s="4" t="s">
        <v>189</v>
      </c>
    </row>
    <row r="87" spans="1:2" x14ac:dyDescent="0.2">
      <c r="A87" s="4" t="s">
        <v>25</v>
      </c>
      <c r="B87" s="4" t="s">
        <v>190</v>
      </c>
    </row>
    <row r="88" spans="1:2" x14ac:dyDescent="0.2">
      <c r="A88" s="4" t="s">
        <v>26</v>
      </c>
      <c r="B88" s="4" t="s">
        <v>36</v>
      </c>
    </row>
    <row r="89" spans="1:2" ht="14.25" x14ac:dyDescent="0.2">
      <c r="A89" s="4" t="s">
        <v>26</v>
      </c>
      <c r="B89" s="31" t="s">
        <v>50</v>
      </c>
    </row>
    <row r="90" spans="1:2" ht="14.25" x14ac:dyDescent="0.2">
      <c r="A90" s="4" t="s">
        <v>26</v>
      </c>
      <c r="B90" s="31" t="s">
        <v>191</v>
      </c>
    </row>
    <row r="91" spans="1:2" ht="14.25" x14ac:dyDescent="0.2">
      <c r="A91" s="4" t="s">
        <v>26</v>
      </c>
      <c r="B91" s="31" t="s">
        <v>192</v>
      </c>
    </row>
    <row r="92" spans="1:2" x14ac:dyDescent="0.2">
      <c r="A92" s="4" t="s">
        <v>26</v>
      </c>
      <c r="B92" s="4" t="s">
        <v>193</v>
      </c>
    </row>
    <row r="93" spans="1:2" x14ac:dyDescent="0.2">
      <c r="A93" s="4" t="s">
        <v>26</v>
      </c>
      <c r="B93" s="4" t="s">
        <v>26</v>
      </c>
    </row>
    <row r="98" spans="2:2" ht="14.25" x14ac:dyDescent="0.2">
      <c r="B98" s="31"/>
    </row>
    <row r="99" spans="2:2" ht="14.25" x14ac:dyDescent="0.2">
      <c r="B99" s="31"/>
    </row>
    <row r="100" spans="2:2" ht="14.25" x14ac:dyDescent="0.2">
      <c r="B100" s="31"/>
    </row>
    <row r="101" spans="2:2" ht="14.25" x14ac:dyDescent="0.2">
      <c r="B101" s="31"/>
    </row>
    <row r="103" spans="2:2" ht="14.25" x14ac:dyDescent="0.2">
      <c r="B103" s="31"/>
    </row>
    <row r="104" spans="2:2" ht="14.25" x14ac:dyDescent="0.2">
      <c r="B104" s="31"/>
    </row>
    <row r="105" spans="2:2" ht="14.25" x14ac:dyDescent="0.2">
      <c r="B105" s="31"/>
    </row>
    <row r="106" spans="2:2" ht="14.25" x14ac:dyDescent="0.2">
      <c r="B106" s="31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zoomScaleNormal="100" workbookViewId="0">
      <selection activeCell="I25" sqref="I25"/>
    </sheetView>
  </sheetViews>
  <sheetFormatPr baseColWidth="10" defaultColWidth="8.7109375" defaultRowHeight="12.75" x14ac:dyDescent="0.2"/>
  <cols>
    <col min="1" max="1" width="5" style="4" customWidth="1"/>
    <col min="2" max="2" width="22" style="4" customWidth="1"/>
    <col min="3" max="3" width="15" style="4" customWidth="1"/>
    <col min="4" max="4" width="12" style="4" customWidth="1"/>
    <col min="5" max="5" width="30" style="4" customWidth="1"/>
  </cols>
  <sheetData>
    <row r="1" spans="1:10" ht="27.75" customHeight="1" x14ac:dyDescent="0.2">
      <c r="A1" s="2" t="s">
        <v>194</v>
      </c>
      <c r="B1" s="2"/>
      <c r="C1" s="2"/>
      <c r="D1" s="2"/>
      <c r="E1" s="2"/>
      <c r="F1" s="25"/>
      <c r="G1" s="25"/>
      <c r="H1" s="25"/>
      <c r="I1" s="25"/>
      <c r="J1" s="25"/>
    </row>
    <row r="3" spans="1:10" x14ac:dyDescent="0.2">
      <c r="B3" s="11" t="s">
        <v>6</v>
      </c>
      <c r="C3" s="11" t="s">
        <v>195</v>
      </c>
      <c r="D3" s="11" t="s">
        <v>196</v>
      </c>
      <c r="E3" s="11" t="s">
        <v>34</v>
      </c>
    </row>
    <row r="4" spans="1:10" x14ac:dyDescent="0.2">
      <c r="B4" s="19" t="s">
        <v>11</v>
      </c>
      <c r="C4" s="20">
        <v>600</v>
      </c>
      <c r="D4" s="19"/>
      <c r="E4" s="28" t="s">
        <v>197</v>
      </c>
    </row>
    <row r="5" spans="1:10" x14ac:dyDescent="0.2">
      <c r="B5" s="14" t="s">
        <v>13</v>
      </c>
      <c r="C5" s="15">
        <v>550</v>
      </c>
      <c r="D5" s="14"/>
      <c r="E5" s="33" t="s">
        <v>197</v>
      </c>
    </row>
    <row r="6" spans="1:10" x14ac:dyDescent="0.2">
      <c r="B6" s="19" t="s">
        <v>15</v>
      </c>
      <c r="C6" s="20">
        <v>0</v>
      </c>
      <c r="D6" s="19"/>
      <c r="E6" s="28" t="s">
        <v>197</v>
      </c>
    </row>
    <row r="7" spans="1:10" x14ac:dyDescent="0.2">
      <c r="B7" s="14" t="s">
        <v>17</v>
      </c>
      <c r="C7" s="15">
        <v>0</v>
      </c>
      <c r="D7" s="14"/>
      <c r="E7" s="33" t="s">
        <v>197</v>
      </c>
    </row>
    <row r="8" spans="1:10" x14ac:dyDescent="0.2">
      <c r="B8" s="19" t="s">
        <v>18</v>
      </c>
      <c r="C8" s="20">
        <v>1300</v>
      </c>
      <c r="D8" s="19"/>
      <c r="E8" s="28" t="s">
        <v>197</v>
      </c>
    </row>
    <row r="9" spans="1:10" x14ac:dyDescent="0.2">
      <c r="B9" s="14" t="s">
        <v>19</v>
      </c>
      <c r="C9" s="15">
        <v>0</v>
      </c>
      <c r="D9" s="14"/>
      <c r="E9" s="33" t="s">
        <v>197</v>
      </c>
    </row>
    <row r="10" spans="1:10" x14ac:dyDescent="0.2">
      <c r="B10" s="19" t="s">
        <v>20</v>
      </c>
      <c r="C10" s="20">
        <v>0</v>
      </c>
      <c r="D10" s="19"/>
      <c r="E10" s="28" t="s">
        <v>197</v>
      </c>
    </row>
    <row r="11" spans="1:10" x14ac:dyDescent="0.2">
      <c r="B11" s="14" t="s">
        <v>21</v>
      </c>
      <c r="C11" s="15">
        <v>0</v>
      </c>
      <c r="D11" s="14"/>
      <c r="E11" s="33" t="s">
        <v>197</v>
      </c>
    </row>
    <row r="12" spans="1:10" x14ac:dyDescent="0.2">
      <c r="B12" s="19" t="s">
        <v>22</v>
      </c>
      <c r="C12" s="20">
        <v>0</v>
      </c>
      <c r="D12" s="19"/>
      <c r="E12" s="28" t="s">
        <v>197</v>
      </c>
    </row>
    <row r="13" spans="1:10" x14ac:dyDescent="0.2">
      <c r="B13" s="14" t="s">
        <v>23</v>
      </c>
      <c r="C13" s="15">
        <v>0</v>
      </c>
      <c r="D13" s="14"/>
      <c r="E13" s="33" t="s">
        <v>197</v>
      </c>
    </row>
    <row r="14" spans="1:10" x14ac:dyDescent="0.2">
      <c r="B14" s="19" t="s">
        <v>24</v>
      </c>
      <c r="C14" s="20">
        <v>0</v>
      </c>
      <c r="D14" s="19"/>
      <c r="E14" s="28" t="s">
        <v>197</v>
      </c>
    </row>
    <row r="15" spans="1:10" x14ac:dyDescent="0.2">
      <c r="B15" s="14" t="s">
        <v>25</v>
      </c>
      <c r="C15" s="15">
        <v>0</v>
      </c>
      <c r="D15" s="14"/>
      <c r="E15" s="33" t="s">
        <v>197</v>
      </c>
    </row>
    <row r="16" spans="1:10" x14ac:dyDescent="0.2">
      <c r="B16" s="19" t="s">
        <v>26</v>
      </c>
      <c r="C16" s="20">
        <v>0</v>
      </c>
      <c r="D16" s="19"/>
      <c r="E16" s="28" t="s">
        <v>197</v>
      </c>
    </row>
    <row r="17" spans="2:5" x14ac:dyDescent="0.2">
      <c r="B17" s="57" t="s">
        <v>198</v>
      </c>
      <c r="C17" s="58">
        <f>SUM(C4:C16)</f>
        <v>2450</v>
      </c>
      <c r="D17" s="57"/>
      <c r="E17" s="47"/>
    </row>
    <row r="18" spans="2:5" x14ac:dyDescent="0.2">
      <c r="C18" s="38"/>
      <c r="E18" s="36"/>
    </row>
    <row r="19" spans="2:5" x14ac:dyDescent="0.2">
      <c r="C19" s="38"/>
      <c r="E19" s="36"/>
    </row>
    <row r="20" spans="2:5" x14ac:dyDescent="0.2">
      <c r="C20" s="38"/>
      <c r="E20" s="36"/>
    </row>
    <row r="21" spans="2:5" x14ac:dyDescent="0.2">
      <c r="C21" s="38"/>
      <c r="E21" s="36"/>
    </row>
    <row r="22" spans="2:5" x14ac:dyDescent="0.2">
      <c r="C22" s="38"/>
      <c r="E22" s="36"/>
    </row>
    <row r="23" spans="2:5" x14ac:dyDescent="0.2">
      <c r="C23" s="38"/>
      <c r="E23" s="36"/>
    </row>
    <row r="24" spans="2:5" x14ac:dyDescent="0.2">
      <c r="C24" s="38"/>
      <c r="E24" s="36"/>
    </row>
    <row r="25" spans="2:5" x14ac:dyDescent="0.2">
      <c r="C25" s="38"/>
      <c r="E25" s="36"/>
    </row>
    <row r="26" spans="2:5" x14ac:dyDescent="0.2">
      <c r="E26" s="36"/>
    </row>
    <row r="27" spans="2:5" x14ac:dyDescent="0.2">
      <c r="E27" s="36"/>
    </row>
    <row r="28" spans="2:5" x14ac:dyDescent="0.2">
      <c r="E28" s="36"/>
    </row>
    <row r="29" spans="2:5" x14ac:dyDescent="0.2">
      <c r="E29" s="36"/>
    </row>
    <row r="30" spans="2:5" x14ac:dyDescent="0.2">
      <c r="E30" s="36"/>
    </row>
    <row r="31" spans="2:5" x14ac:dyDescent="0.2">
      <c r="E31" s="36"/>
    </row>
    <row r="32" spans="2:5" x14ac:dyDescent="0.2">
      <c r="E32" s="36"/>
    </row>
    <row r="33" spans="5:5" x14ac:dyDescent="0.2">
      <c r="E33" s="36"/>
    </row>
    <row r="34" spans="5:5" x14ac:dyDescent="0.2">
      <c r="E34" s="36"/>
    </row>
    <row r="35" spans="5:5" x14ac:dyDescent="0.2">
      <c r="E35" s="36"/>
    </row>
    <row r="36" spans="5:5" x14ac:dyDescent="0.2">
      <c r="E36" s="36"/>
    </row>
    <row r="37" spans="5:5" x14ac:dyDescent="0.2">
      <c r="E37" s="36"/>
    </row>
    <row r="38" spans="5:5" x14ac:dyDescent="0.2">
      <c r="E38" s="36"/>
    </row>
    <row r="39" spans="5:5" x14ac:dyDescent="0.2">
      <c r="E39" s="36"/>
    </row>
    <row r="40" spans="5:5" x14ac:dyDescent="0.2">
      <c r="E40" s="36"/>
    </row>
    <row r="41" spans="5:5" x14ac:dyDescent="0.2">
      <c r="E41" s="36"/>
    </row>
    <row r="42" spans="5:5" x14ac:dyDescent="0.2">
      <c r="E42" s="36"/>
    </row>
    <row r="43" spans="5:5" x14ac:dyDescent="0.2">
      <c r="E43" s="36"/>
    </row>
    <row r="44" spans="5:5" x14ac:dyDescent="0.2">
      <c r="E44" s="36"/>
    </row>
    <row r="45" spans="5:5" x14ac:dyDescent="0.2">
      <c r="E45" s="36"/>
    </row>
    <row r="46" spans="5:5" x14ac:dyDescent="0.2">
      <c r="E46" s="36"/>
    </row>
    <row r="47" spans="5:5" x14ac:dyDescent="0.2">
      <c r="E47" s="36"/>
    </row>
    <row r="48" spans="5:5" x14ac:dyDescent="0.2">
      <c r="E48" s="36"/>
    </row>
    <row r="49" spans="5:5" x14ac:dyDescent="0.2">
      <c r="E49" s="36"/>
    </row>
    <row r="50" spans="5:5" x14ac:dyDescent="0.2">
      <c r="E50" s="36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Dashboard</vt:lpstr>
      <vt:lpstr>MOVIMIENTOS</vt:lpstr>
      <vt:lpstr>RESUMEN</vt:lpstr>
      <vt:lpstr>DEUDAS</vt:lpstr>
      <vt:lpstr>CONTROL PERSONAL</vt:lpstr>
      <vt:lpstr>LISTAS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Binv Capital</cp:lastModifiedBy>
  <cp:revision>1</cp:revision>
  <dcterms:created xsi:type="dcterms:W3CDTF">2026-05-03T14:29:29Z</dcterms:created>
  <dcterms:modified xsi:type="dcterms:W3CDTF">2026-05-03T14:37:27Z</dcterms:modified>
  <dc:language>en-US</dc:language>
</cp:coreProperties>
</file>